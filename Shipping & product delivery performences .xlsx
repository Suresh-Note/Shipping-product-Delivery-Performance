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d1d4f2ecad41d33c/Desktop/SONY/EXCEL/"/>
    </mc:Choice>
  </mc:AlternateContent>
  <xr:revisionPtr revIDLastSave="626" documentId="8_{046C5C8D-DE55-43AE-AE13-D860F990E79A}" xr6:coauthVersionLast="47" xr6:coauthVersionMax="47" xr10:uidLastSave="{1304B1E6-8E05-45CC-B52B-DBD53EC8965C}"/>
  <bookViews>
    <workbookView minimized="1" xWindow="1035" yWindow="1035" windowWidth="21600" windowHeight="11295" xr2:uid="{346724B3-1C49-40AE-AA36-C77CF5D6DD09}"/>
  </bookViews>
  <sheets>
    <sheet name="Data" sheetId="1" r:id="rId1"/>
    <sheet name="Dashboard" sheetId="6" r:id="rId2"/>
    <sheet name="Questions &amp; KPIs" sheetId="2" r:id="rId3"/>
    <sheet name="Sheet3" sheetId="7" r:id="rId4"/>
    <sheet name="Sheet4" sheetId="8" r:id="rId5"/>
    <sheet name="Sheet2" sheetId="10" r:id="rId6"/>
    <sheet name="Sheet5" sheetId="11" r:id="rId7"/>
    <sheet name="Sheet1" sheetId="5" r:id="rId8"/>
    <sheet name="Sheet6" sheetId="12" r:id="rId9"/>
    <sheet name="Sheet7" sheetId="13" r:id="rId10"/>
  </sheets>
  <definedNames>
    <definedName name="_xlchart.v5.0" hidden="1">Sheet5!$H$33:$I$33</definedName>
    <definedName name="_xlchart.v5.1" hidden="1">Sheet5!$H$34:$I$92</definedName>
    <definedName name="_xlchart.v5.2" hidden="1">Sheet5!$J$33</definedName>
    <definedName name="_xlchart.v5.3" hidden="1">Sheet5!$J$34:$J$92</definedName>
    <definedName name="_xlchart.v5.4" hidden="1">Sheet5!$M$33:$N$33</definedName>
    <definedName name="_xlchart.v5.5" hidden="1">Sheet5!$M$34:$N$92</definedName>
    <definedName name="_xlchart.v5.6" hidden="1">Sheet5!$O$33</definedName>
    <definedName name="_xlchart.v5.7" hidden="1">Sheet5!$O$34:$O$92</definedName>
    <definedName name="Slicer_Gender_Value">#N/A</definedName>
    <definedName name="Slicer_Order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1" i="13" l="1"/>
  <c r="P11" i="13"/>
  <c r="O11" i="13"/>
  <c r="N11" i="13"/>
  <c r="M11" i="13"/>
  <c r="Q10" i="13"/>
  <c r="P10" i="13"/>
  <c r="O10" i="13"/>
  <c r="N10" i="13"/>
  <c r="M10" i="13"/>
  <c r="Q9" i="13"/>
  <c r="P9" i="13"/>
  <c r="O9" i="13"/>
  <c r="N9" i="13"/>
  <c r="M9" i="13"/>
  <c r="Q8" i="13"/>
  <c r="P8" i="13"/>
  <c r="O8" i="13"/>
  <c r="N8" i="13"/>
  <c r="M8" i="13"/>
  <c r="Q7" i="13"/>
  <c r="P7" i="13"/>
  <c r="O7" i="13"/>
  <c r="N7" i="13"/>
  <c r="M7" i="13"/>
  <c r="Q6" i="13"/>
  <c r="P6" i="13"/>
  <c r="O6" i="13"/>
  <c r="N6" i="13"/>
  <c r="R15" i="13"/>
  <c r="Q15" i="13"/>
  <c r="P15" i="13"/>
  <c r="O15" i="13"/>
  <c r="N15" i="13"/>
  <c r="R14" i="13"/>
  <c r="Q14" i="13"/>
  <c r="P14" i="13"/>
  <c r="O14" i="13"/>
  <c r="N14" i="13"/>
  <c r="R13" i="13"/>
  <c r="Q13" i="13"/>
  <c r="P13" i="13"/>
  <c r="O13" i="13"/>
  <c r="N13" i="13"/>
  <c r="R12" i="13"/>
  <c r="Q12" i="13"/>
  <c r="P12" i="13"/>
  <c r="O12" i="13"/>
  <c r="N12" i="13"/>
  <c r="R11" i="13"/>
  <c r="R10" i="13"/>
  <c r="I4" i="7"/>
  <c r="J4" i="7"/>
  <c r="K4" i="7"/>
  <c r="L4" i="7"/>
  <c r="L4" i="5"/>
  <c r="K4" i="5"/>
  <c r="J4" i="5"/>
  <c r="I4" i="5"/>
  <c r="H4" i="5"/>
  <c r="O2401" i="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c r="O2361" i="1" a="1"/>
  <c r="N2361" i="1"/>
  <c r="M2361" i="1"/>
  <c r="O2360" i="1"/>
  <c r="O2360" i="1" a="1"/>
  <c r="N2360" i="1"/>
  <c r="M2360" i="1"/>
  <c r="O2359" i="1"/>
  <c r="O2359" i="1" a="1"/>
  <c r="N2359" i="1"/>
  <c r="M2359" i="1"/>
  <c r="O2358" i="1"/>
  <c r="O2358" i="1" a="1"/>
  <c r="N2358" i="1"/>
  <c r="M2358" i="1"/>
  <c r="O2357" i="1"/>
  <c r="O2357" i="1" a="1"/>
  <c r="N2357" i="1"/>
  <c r="M2357" i="1"/>
  <c r="O2356" i="1"/>
  <c r="O2356" i="1" a="1"/>
  <c r="N2356" i="1"/>
  <c r="M2356" i="1"/>
  <c r="O2355" i="1"/>
  <c r="O2355" i="1" a="1"/>
  <c r="N2355" i="1"/>
  <c r="M2355" i="1"/>
  <c r="O2354" i="1"/>
  <c r="O2354" i="1" a="1"/>
  <c r="N2354" i="1"/>
  <c r="M2354" i="1"/>
  <c r="O2353" i="1"/>
  <c r="O2353" i="1" a="1"/>
  <c r="N2353" i="1"/>
  <c r="M2353" i="1"/>
  <c r="O2352" i="1"/>
  <c r="O2352" i="1" a="1"/>
  <c r="N2352" i="1"/>
  <c r="M2352" i="1"/>
  <c r="O2351" i="1"/>
  <c r="O2351" i="1" a="1"/>
  <c r="N2351" i="1"/>
  <c r="M2351" i="1"/>
  <c r="O2350" i="1"/>
  <c r="O2350" i="1" a="1"/>
  <c r="N2350" i="1"/>
  <c r="M2350" i="1"/>
  <c r="O2349" i="1"/>
  <c r="O2349" i="1" a="1"/>
  <c r="N2349" i="1"/>
  <c r="M2349" i="1"/>
  <c r="O2348" i="1"/>
  <c r="O2348" i="1" a="1"/>
  <c r="N2348" i="1"/>
  <c r="M2348" i="1"/>
  <c r="O2347" i="1"/>
  <c r="O2347" i="1" a="1"/>
  <c r="N2347" i="1"/>
  <c r="M2347" i="1"/>
  <c r="O2346" i="1"/>
  <c r="O2346" i="1" a="1"/>
  <c r="N2346" i="1"/>
  <c r="M2346" i="1"/>
  <c r="O2345" i="1"/>
  <c r="O2345" i="1" a="1"/>
  <c r="N2345" i="1"/>
  <c r="M2345" i="1"/>
  <c r="O2344" i="1"/>
  <c r="O2344" i="1" a="1"/>
  <c r="N2344" i="1"/>
  <c r="M2344" i="1"/>
  <c r="O2343" i="1"/>
  <c r="O2343" i="1" a="1"/>
  <c r="N2343" i="1"/>
  <c r="M2343" i="1"/>
  <c r="O2342" i="1"/>
  <c r="O2342" i="1" a="1"/>
  <c r="N2342" i="1"/>
  <c r="M2342" i="1"/>
  <c r="O2341" i="1"/>
  <c r="O2341" i="1" a="1"/>
  <c r="N2341" i="1"/>
  <c r="M2341" i="1"/>
  <c r="O2340" i="1"/>
  <c r="O2340" i="1" a="1"/>
  <c r="N2340" i="1"/>
  <c r="M2340" i="1"/>
  <c r="O2339" i="1"/>
  <c r="O2339" i="1" a="1"/>
  <c r="N2339" i="1"/>
  <c r="M2339" i="1"/>
  <c r="O2338" i="1"/>
  <c r="O2338" i="1" a="1"/>
  <c r="N2338" i="1"/>
  <c r="M2338" i="1"/>
  <c r="O2337" i="1"/>
  <c r="O2337" i="1" a="1"/>
  <c r="N2337" i="1"/>
  <c r="M2337" i="1"/>
  <c r="O2336" i="1"/>
  <c r="O2336" i="1" a="1"/>
  <c r="N2336" i="1"/>
  <c r="M2336" i="1"/>
  <c r="O2335" i="1"/>
  <c r="O2335" i="1" a="1"/>
  <c r="N2335" i="1"/>
  <c r="M2335" i="1"/>
  <c r="O2334" i="1"/>
  <c r="O2334" i="1" a="1"/>
  <c r="N2334" i="1"/>
  <c r="M2334" i="1"/>
  <c r="O2333" i="1"/>
  <c r="O2333" i="1" a="1"/>
  <c r="N2333" i="1"/>
  <c r="M2333" i="1"/>
  <c r="O2332" i="1"/>
  <c r="O2332" i="1" a="1"/>
  <c r="N2332" i="1"/>
  <c r="M2332" i="1"/>
  <c r="O2331" i="1"/>
  <c r="O2331" i="1" a="1"/>
  <c r="N2331" i="1"/>
  <c r="M2331" i="1"/>
  <c r="O2330" i="1"/>
  <c r="O2330" i="1" a="1"/>
  <c r="N2330" i="1"/>
  <c r="M2330" i="1"/>
  <c r="O2329" i="1"/>
  <c r="O2329" i="1" a="1"/>
  <c r="N2329" i="1"/>
  <c r="M2329" i="1"/>
  <c r="O2328" i="1"/>
  <c r="O2328" i="1" a="1"/>
  <c r="N2328" i="1"/>
  <c r="M2328" i="1"/>
  <c r="O2327" i="1"/>
  <c r="O2327" i="1" a="1"/>
  <c r="N2327" i="1"/>
  <c r="M2327" i="1"/>
  <c r="O2326" i="1"/>
  <c r="O2326" i="1" a="1"/>
  <c r="N2326" i="1"/>
  <c r="M2326" i="1"/>
  <c r="O2325" i="1"/>
  <c r="O2325" i="1" a="1"/>
  <c r="N2325" i="1"/>
  <c r="M2325" i="1"/>
  <c r="O2324" i="1"/>
  <c r="O2324" i="1" a="1"/>
  <c r="N2324" i="1"/>
  <c r="M2324" i="1"/>
  <c r="O2323" i="1"/>
  <c r="O2323" i="1" a="1"/>
  <c r="N2323" i="1"/>
  <c r="M2323" i="1"/>
  <c r="O2322" i="1"/>
  <c r="O2322" i="1" a="1"/>
  <c r="N2322" i="1"/>
  <c r="M2322" i="1"/>
  <c r="O2321" i="1"/>
  <c r="O2321" i="1" a="1"/>
  <c r="N2321" i="1"/>
  <c r="M2321" i="1"/>
  <c r="O2320" i="1"/>
  <c r="O2320" i="1" a="1"/>
  <c r="N2320" i="1"/>
  <c r="M2320" i="1"/>
  <c r="O2319" i="1"/>
  <c r="O2319" i="1" a="1"/>
  <c r="N2319" i="1"/>
  <c r="M2319" i="1"/>
  <c r="O2318" i="1"/>
  <c r="O2318" i="1" a="1"/>
  <c r="N2318" i="1"/>
  <c r="M2318" i="1"/>
  <c r="O2317" i="1"/>
  <c r="O2317" i="1" a="1"/>
  <c r="N2317" i="1"/>
  <c r="M2317" i="1"/>
  <c r="O2316" i="1"/>
  <c r="O2316" i="1" a="1"/>
  <c r="N2316" i="1"/>
  <c r="M2316" i="1"/>
  <c r="O2315" i="1"/>
  <c r="O2315" i="1" a="1"/>
  <c r="N2315" i="1"/>
  <c r="M2315" i="1"/>
  <c r="O2314" i="1"/>
  <c r="O2314" i="1" a="1"/>
  <c r="N2314" i="1"/>
  <c r="M2314" i="1"/>
  <c r="O2313" i="1"/>
  <c r="O2313" i="1" a="1"/>
  <c r="N2313" i="1"/>
  <c r="M2313" i="1"/>
  <c r="O2312" i="1"/>
  <c r="O2312" i="1" a="1"/>
  <c r="N2312" i="1"/>
  <c r="M2312" i="1"/>
  <c r="O2311" i="1"/>
  <c r="O2311" i="1" a="1"/>
  <c r="N2311" i="1"/>
  <c r="M2311" i="1"/>
  <c r="O2310" i="1"/>
  <c r="O2310" i="1" a="1"/>
  <c r="N2310" i="1"/>
  <c r="M2310" i="1"/>
  <c r="O2309" i="1"/>
  <c r="O2309" i="1" a="1"/>
  <c r="N2309" i="1"/>
  <c r="M2309" i="1"/>
  <c r="O2308" i="1"/>
  <c r="O2308" i="1" a="1"/>
  <c r="N2308" i="1"/>
  <c r="M2308" i="1"/>
  <c r="O2307" i="1"/>
  <c r="O2307" i="1" a="1"/>
  <c r="N2307" i="1"/>
  <c r="M2307" i="1"/>
  <c r="O2306" i="1"/>
  <c r="O2306" i="1" a="1"/>
  <c r="N2306" i="1"/>
  <c r="M2306" i="1"/>
  <c r="O2305" i="1"/>
  <c r="O2305" i="1" a="1"/>
  <c r="N2305" i="1"/>
  <c r="M2305" i="1"/>
  <c r="O2304" i="1"/>
  <c r="O2304" i="1" a="1"/>
  <c r="N2304" i="1"/>
  <c r="M2304" i="1"/>
  <c r="O2303" i="1"/>
  <c r="O2303" i="1" a="1"/>
  <c r="N2303" i="1"/>
  <c r="M2303" i="1"/>
  <c r="O2302" i="1"/>
  <c r="O2302" i="1" a="1"/>
  <c r="N2302" i="1"/>
  <c r="M2302" i="1"/>
  <c r="O2301" i="1"/>
  <c r="O2301" i="1" a="1"/>
  <c r="N2301" i="1"/>
  <c r="M2301" i="1"/>
  <c r="O2300" i="1"/>
  <c r="O2300" i="1" a="1"/>
  <c r="N2300" i="1"/>
  <c r="M2300" i="1"/>
  <c r="O2299" i="1"/>
  <c r="O2299" i="1" a="1"/>
  <c r="N2299" i="1"/>
  <c r="M2299" i="1"/>
  <c r="O2298" i="1"/>
  <c r="O2298" i="1" a="1"/>
  <c r="N2298" i="1"/>
  <c r="M2298" i="1"/>
  <c r="O2297" i="1"/>
  <c r="O2297" i="1" a="1"/>
  <c r="N2297" i="1"/>
  <c r="M2297" i="1"/>
  <c r="O2296" i="1"/>
  <c r="O2296" i="1" a="1"/>
  <c r="N2296" i="1"/>
  <c r="M2296" i="1"/>
  <c r="O2295" i="1"/>
  <c r="O2295" i="1" a="1"/>
  <c r="N2295" i="1"/>
  <c r="M2295" i="1"/>
  <c r="O2294" i="1"/>
  <c r="O2294" i="1" a="1"/>
  <c r="N2294" i="1"/>
  <c r="M2294" i="1"/>
  <c r="O2293" i="1"/>
  <c r="O2293" i="1" a="1"/>
  <c r="N2293" i="1"/>
  <c r="M2293" i="1"/>
  <c r="O2292" i="1"/>
  <c r="O2292" i="1" a="1"/>
  <c r="N2292" i="1"/>
  <c r="M2292" i="1"/>
  <c r="O2291" i="1"/>
  <c r="O2291" i="1" a="1"/>
  <c r="N2291" i="1"/>
  <c r="M2291" i="1"/>
  <c r="O2290" i="1"/>
  <c r="O2290" i="1" a="1"/>
  <c r="N2290" i="1"/>
  <c r="M2290" i="1"/>
  <c r="O2289" i="1"/>
  <c r="O2289" i="1" a="1"/>
  <c r="N2289" i="1"/>
  <c r="M2289" i="1"/>
  <c r="O2288" i="1"/>
  <c r="O2288" i="1" a="1"/>
  <c r="N2288" i="1"/>
  <c r="M2288" i="1"/>
  <c r="O2287" i="1"/>
  <c r="O2287" i="1" a="1"/>
  <c r="N2287" i="1"/>
  <c r="M2287" i="1"/>
  <c r="O2286" i="1"/>
  <c r="O2286" i="1" a="1"/>
  <c r="N2286" i="1"/>
  <c r="M2286" i="1"/>
  <c r="O2285" i="1"/>
  <c r="O2285" i="1" a="1"/>
  <c r="N2285" i="1"/>
  <c r="M2285" i="1"/>
  <c r="O2284" i="1"/>
  <c r="O2284" i="1" a="1"/>
  <c r="N2284" i="1"/>
  <c r="M2284" i="1"/>
  <c r="O2283" i="1"/>
  <c r="O2283" i="1" a="1"/>
  <c r="N2283" i="1"/>
  <c r="M2283" i="1"/>
  <c r="O2282" i="1"/>
  <c r="O2282" i="1" a="1"/>
  <c r="N2282" i="1"/>
  <c r="M2282" i="1"/>
  <c r="O2281" i="1"/>
  <c r="O2281" i="1" a="1"/>
  <c r="N2281" i="1"/>
  <c r="M2281" i="1"/>
  <c r="O2280" i="1"/>
  <c r="O2280" i="1" a="1"/>
  <c r="N2280" i="1"/>
  <c r="M2280" i="1"/>
  <c r="O2279" i="1"/>
  <c r="O2279" i="1" a="1"/>
  <c r="N2279" i="1"/>
  <c r="M2279" i="1"/>
  <c r="O2278" i="1"/>
  <c r="O2278" i="1" a="1"/>
  <c r="N2278" i="1"/>
  <c r="M2278" i="1"/>
  <c r="O2277" i="1"/>
  <c r="O2277" i="1" a="1"/>
  <c r="N2277" i="1"/>
  <c r="M2277" i="1"/>
  <c r="O2276" i="1"/>
  <c r="O2276" i="1" a="1"/>
  <c r="N2276" i="1"/>
  <c r="M2276" i="1"/>
  <c r="O2275" i="1"/>
  <c r="O2275" i="1" a="1"/>
  <c r="N2275" i="1"/>
  <c r="M2275" i="1"/>
  <c r="O2274" i="1"/>
  <c r="O2274" i="1" a="1"/>
  <c r="N2274" i="1"/>
  <c r="M2274" i="1"/>
  <c r="O2273" i="1"/>
  <c r="O2273" i="1" a="1"/>
  <c r="N2273" i="1"/>
  <c r="M2273" i="1"/>
  <c r="O2272" i="1"/>
  <c r="O2272" i="1" a="1"/>
  <c r="N2272" i="1"/>
  <c r="M2272" i="1"/>
  <c r="O2271" i="1"/>
  <c r="O2271" i="1" a="1"/>
  <c r="N2271" i="1"/>
  <c r="M2271" i="1"/>
  <c r="O2270" i="1"/>
  <c r="O2270" i="1" a="1"/>
  <c r="N2270" i="1"/>
  <c r="M2270" i="1"/>
  <c r="O2269" i="1"/>
  <c r="O2269" i="1" a="1"/>
  <c r="N2269" i="1"/>
  <c r="M2269" i="1"/>
  <c r="O2268" i="1"/>
  <c r="O2268" i="1" a="1"/>
  <c r="N2268" i="1"/>
  <c r="M2268" i="1"/>
  <c r="O2267" i="1"/>
  <c r="O2267" i="1" a="1"/>
  <c r="N2267" i="1"/>
  <c r="M2267" i="1"/>
  <c r="O2266" i="1"/>
  <c r="O2266" i="1" a="1"/>
  <c r="N2266" i="1"/>
  <c r="M2266" i="1"/>
  <c r="O2265" i="1"/>
  <c r="O2265" i="1" a="1"/>
  <c r="N2265" i="1"/>
  <c r="M2265" i="1"/>
  <c r="O2264" i="1"/>
  <c r="O2264" i="1" a="1"/>
  <c r="N2264" i="1"/>
  <c r="M2264" i="1"/>
  <c r="O2263" i="1"/>
  <c r="O2263" i="1" a="1"/>
  <c r="N2263" i="1"/>
  <c r="M2263" i="1"/>
  <c r="O2262" i="1"/>
  <c r="O2262" i="1" a="1"/>
  <c r="N2262" i="1"/>
  <c r="M2262" i="1"/>
  <c r="O2261" i="1"/>
  <c r="O2261" i="1" a="1"/>
  <c r="N2261" i="1"/>
  <c r="M2261" i="1"/>
  <c r="O2260" i="1"/>
  <c r="O2260" i="1" a="1"/>
  <c r="N2260" i="1"/>
  <c r="M2260" i="1"/>
  <c r="O2259" i="1"/>
  <c r="O2259" i="1" a="1"/>
  <c r="N2259" i="1"/>
  <c r="M2259" i="1"/>
  <c r="O2258" i="1"/>
  <c r="O2258" i="1" a="1"/>
  <c r="N2258" i="1"/>
  <c r="M2258" i="1"/>
  <c r="O2257" i="1"/>
  <c r="O2257" i="1" a="1"/>
  <c r="N2257" i="1"/>
  <c r="M2257" i="1"/>
  <c r="O2256" i="1"/>
  <c r="O2256" i="1" a="1"/>
  <c r="N2256" i="1"/>
  <c r="M2256" i="1"/>
  <c r="O2255" i="1"/>
  <c r="O2255" i="1" a="1"/>
  <c r="N2255" i="1"/>
  <c r="M2255" i="1"/>
  <c r="O2254" i="1"/>
  <c r="O2254" i="1" a="1"/>
  <c r="N2254" i="1"/>
  <c r="M2254" i="1"/>
  <c r="O2253" i="1"/>
  <c r="O2253" i="1" a="1"/>
  <c r="N2253" i="1"/>
  <c r="M2253" i="1"/>
  <c r="O2252" i="1"/>
  <c r="O2252" i="1" a="1"/>
  <c r="N2252" i="1"/>
  <c r="M2252" i="1"/>
  <c r="O2251" i="1"/>
  <c r="O2251" i="1" a="1"/>
  <c r="N2251" i="1"/>
  <c r="M2251" i="1"/>
  <c r="O2250" i="1"/>
  <c r="O2250" i="1" a="1"/>
  <c r="N2250" i="1"/>
  <c r="M2250" i="1"/>
  <c r="O2249" i="1"/>
  <c r="O2249" i="1" a="1"/>
  <c r="N2249" i="1"/>
  <c r="M2249" i="1"/>
  <c r="O2248" i="1"/>
  <c r="O2248" i="1" a="1"/>
  <c r="N2248" i="1"/>
  <c r="M2248" i="1"/>
  <c r="O2247" i="1"/>
  <c r="O2247" i="1" a="1"/>
  <c r="N2247" i="1"/>
  <c r="M2247" i="1"/>
  <c r="O2246" i="1"/>
  <c r="O2246" i="1" a="1"/>
  <c r="N2246" i="1"/>
  <c r="M2246" i="1"/>
  <c r="O2245" i="1"/>
  <c r="O2245" i="1" a="1"/>
  <c r="N2245" i="1"/>
  <c r="M2245" i="1"/>
  <c r="O2244" i="1"/>
  <c r="O2244" i="1" a="1"/>
  <c r="N2244" i="1"/>
  <c r="M2244" i="1"/>
  <c r="O2243" i="1"/>
  <c r="O2243" i="1" a="1"/>
  <c r="N2243" i="1"/>
  <c r="M2243" i="1"/>
  <c r="O2242" i="1"/>
  <c r="O2242" i="1" a="1"/>
  <c r="N2242" i="1"/>
  <c r="M2242" i="1"/>
  <c r="O2241" i="1"/>
  <c r="O2241" i="1" a="1"/>
  <c r="N2241" i="1"/>
  <c r="M2241" i="1"/>
  <c r="O2240" i="1"/>
  <c r="O2240" i="1" a="1"/>
  <c r="N2240" i="1"/>
  <c r="M2240" i="1"/>
  <c r="O2239" i="1"/>
  <c r="O2239" i="1" a="1"/>
  <c r="N2239" i="1"/>
  <c r="M2239" i="1"/>
  <c r="O2238" i="1"/>
  <c r="O2238" i="1" a="1"/>
  <c r="N2238" i="1"/>
  <c r="M2238" i="1"/>
  <c r="O2237" i="1"/>
  <c r="O2237" i="1" a="1"/>
  <c r="N2237" i="1"/>
  <c r="M2237" i="1"/>
  <c r="O2236" i="1"/>
  <c r="O2236" i="1" a="1"/>
  <c r="N2236" i="1"/>
  <c r="M2236" i="1"/>
  <c r="O2235" i="1"/>
  <c r="O2235" i="1" a="1"/>
  <c r="N2235" i="1"/>
  <c r="M2235" i="1"/>
  <c r="O2234" i="1"/>
  <c r="O2234" i="1" a="1"/>
  <c r="N2234" i="1"/>
  <c r="M2234" i="1"/>
  <c r="O2233" i="1"/>
  <c r="O2233" i="1" a="1"/>
  <c r="N2233" i="1"/>
  <c r="M2233" i="1"/>
  <c r="O2232" i="1"/>
  <c r="O2232" i="1" a="1"/>
  <c r="N2232" i="1"/>
  <c r="M2232" i="1"/>
  <c r="O2231" i="1"/>
  <c r="O2231" i="1" a="1"/>
  <c r="N2231" i="1"/>
  <c r="M2231" i="1"/>
  <c r="O2230" i="1"/>
  <c r="O2230" i="1" a="1"/>
  <c r="N2230" i="1"/>
  <c r="M2230" i="1"/>
  <c r="O2229" i="1"/>
  <c r="O2229" i="1" a="1"/>
  <c r="N2229" i="1"/>
  <c r="M2229" i="1"/>
  <c r="O2228" i="1"/>
  <c r="O2228" i="1" a="1"/>
  <c r="N2228" i="1"/>
  <c r="M2228" i="1"/>
  <c r="O2227" i="1"/>
  <c r="O2227" i="1" a="1"/>
  <c r="N2227" i="1"/>
  <c r="M2227" i="1"/>
  <c r="O2226" i="1"/>
  <c r="O2226" i="1" a="1"/>
  <c r="N2226" i="1"/>
  <c r="M2226" i="1"/>
  <c r="O2225" i="1"/>
  <c r="O2225" i="1" a="1"/>
  <c r="N2225" i="1"/>
  <c r="M2225" i="1"/>
  <c r="O2224" i="1"/>
  <c r="O2224" i="1" a="1"/>
  <c r="N2224" i="1"/>
  <c r="M2224" i="1"/>
  <c r="O2223" i="1"/>
  <c r="O2223" i="1" a="1"/>
  <c r="N2223" i="1"/>
  <c r="M2223" i="1"/>
  <c r="O2222" i="1"/>
  <c r="O2222" i="1" a="1"/>
  <c r="N2222" i="1"/>
  <c r="M2222" i="1"/>
  <c r="O2221" i="1"/>
  <c r="O2221" i="1" a="1"/>
  <c r="N2221" i="1"/>
  <c r="M2221" i="1"/>
  <c r="O2220" i="1"/>
  <c r="O2220" i="1" a="1"/>
  <c r="N2220" i="1"/>
  <c r="M2220" i="1"/>
  <c r="O2219" i="1"/>
  <c r="O2219" i="1" a="1"/>
  <c r="N2219" i="1"/>
  <c r="M2219" i="1"/>
  <c r="O2218" i="1"/>
  <c r="O2218" i="1" a="1"/>
  <c r="N2218" i="1"/>
  <c r="M2218" i="1"/>
  <c r="O2217" i="1"/>
  <c r="O2217" i="1" a="1"/>
  <c r="N2217" i="1"/>
  <c r="M2217" i="1"/>
  <c r="O2216" i="1"/>
  <c r="O2216" i="1" a="1"/>
  <c r="N2216" i="1"/>
  <c r="M2216" i="1"/>
  <c r="O2215" i="1"/>
  <c r="O2215" i="1" a="1"/>
  <c r="N2215" i="1"/>
  <c r="M2215" i="1"/>
  <c r="O2214" i="1"/>
  <c r="O2214" i="1" a="1"/>
  <c r="N2214" i="1"/>
  <c r="M2214" i="1"/>
  <c r="O2213" i="1"/>
  <c r="O2213" i="1" a="1"/>
  <c r="N2213" i="1"/>
  <c r="M2213" i="1"/>
  <c r="O2212" i="1"/>
  <c r="O2212" i="1" a="1"/>
  <c r="N2212" i="1"/>
  <c r="M2212" i="1"/>
  <c r="O2211" i="1"/>
  <c r="O2211" i="1" a="1"/>
  <c r="N2211" i="1"/>
  <c r="M2211" i="1"/>
  <c r="O2210" i="1"/>
  <c r="O2210" i="1" a="1"/>
  <c r="N2210" i="1"/>
  <c r="M2210" i="1"/>
  <c r="O2209" i="1"/>
  <c r="O2209" i="1" a="1"/>
  <c r="N2209" i="1"/>
  <c r="M2209" i="1"/>
  <c r="O2208" i="1"/>
  <c r="O2208" i="1" a="1"/>
  <c r="N2208" i="1"/>
  <c r="M2208" i="1"/>
  <c r="O2207" i="1"/>
  <c r="O2207" i="1" a="1"/>
  <c r="N2207" i="1"/>
  <c r="M2207" i="1"/>
  <c r="O2206" i="1"/>
  <c r="O2206" i="1" a="1"/>
  <c r="N2206" i="1"/>
  <c r="M2206" i="1"/>
  <c r="O2205" i="1"/>
  <c r="O2205" i="1" a="1"/>
  <c r="N2205" i="1"/>
  <c r="M2205" i="1"/>
  <c r="O2204" i="1"/>
  <c r="O2204" i="1" a="1"/>
  <c r="N2204" i="1"/>
  <c r="M2204" i="1"/>
  <c r="O2203" i="1"/>
  <c r="O2203" i="1" a="1"/>
  <c r="N2203" i="1"/>
  <c r="M2203" i="1"/>
  <c r="O2202" i="1"/>
  <c r="O2202" i="1" a="1"/>
  <c r="N2202" i="1"/>
  <c r="M2202" i="1"/>
  <c r="O2201" i="1"/>
  <c r="O2201" i="1" a="1"/>
  <c r="N2201" i="1"/>
  <c r="M2201" i="1"/>
  <c r="O2200" i="1"/>
  <c r="O2200" i="1" a="1"/>
  <c r="N2200" i="1"/>
  <c r="M2200" i="1"/>
  <c r="O2199" i="1"/>
  <c r="O2199" i="1" a="1"/>
  <c r="N2199" i="1"/>
  <c r="M2199" i="1"/>
  <c r="O2198" i="1"/>
  <c r="O2198" i="1" a="1"/>
  <c r="N2198" i="1"/>
  <c r="M2198" i="1"/>
  <c r="O2197" i="1"/>
  <c r="O2197" i="1" a="1"/>
  <c r="N2197" i="1"/>
  <c r="M2197" i="1"/>
  <c r="O2196" i="1"/>
  <c r="O2196" i="1" a="1"/>
  <c r="N2196" i="1"/>
  <c r="M2196" i="1"/>
  <c r="O2195" i="1"/>
  <c r="O2195" i="1" a="1"/>
  <c r="N2195" i="1"/>
  <c r="M2195" i="1"/>
  <c r="O2194" i="1"/>
  <c r="O2194" i="1" a="1"/>
  <c r="N2194" i="1"/>
  <c r="M2194" i="1"/>
  <c r="O2193" i="1"/>
  <c r="O2193" i="1" a="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c r="O1262" i="1" a="1"/>
  <c r="N1262" i="1"/>
  <c r="M1262" i="1"/>
  <c r="O1261" i="1"/>
  <c r="O1261" i="1" a="1"/>
  <c r="N1261" i="1"/>
  <c r="M1261" i="1"/>
  <c r="O1260" i="1"/>
  <c r="O1260" i="1" a="1"/>
  <c r="N1260" i="1"/>
  <c r="M1260" i="1"/>
  <c r="O1259" i="1"/>
  <c r="O1259" i="1" a="1"/>
  <c r="N1259" i="1"/>
  <c r="M1259" i="1"/>
  <c r="O1258" i="1"/>
  <c r="O1258" i="1" a="1"/>
  <c r="N1258" i="1"/>
  <c r="M1258" i="1"/>
  <c r="O1257" i="1"/>
  <c r="O1257" i="1" a="1"/>
  <c r="N1257" i="1"/>
  <c r="M1257" i="1"/>
  <c r="O1256" i="1"/>
  <c r="O1256" i="1" a="1"/>
  <c r="N1256" i="1"/>
  <c r="M1256" i="1"/>
  <c r="O1255" i="1"/>
  <c r="O1255" i="1" a="1"/>
  <c r="N1255" i="1"/>
  <c r="M1255" i="1"/>
  <c r="O1254" i="1"/>
  <c r="O1254" i="1" a="1"/>
  <c r="N1254" i="1"/>
  <c r="M1254" i="1"/>
  <c r="O1253" i="1"/>
  <c r="O1253" i="1" a="1"/>
  <c r="N1253" i="1"/>
  <c r="M1253" i="1"/>
  <c r="O1252" i="1"/>
  <c r="O1252" i="1" a="1"/>
  <c r="N1252" i="1"/>
  <c r="M1252" i="1"/>
  <c r="O1251" i="1"/>
  <c r="O1251" i="1" a="1"/>
  <c r="N1251" i="1"/>
  <c r="M1251" i="1"/>
  <c r="O1250" i="1"/>
  <c r="O1250" i="1" a="1"/>
  <c r="N1250" i="1"/>
  <c r="M1250" i="1"/>
  <c r="O1249" i="1"/>
  <c r="O1249" i="1" a="1"/>
  <c r="N1249" i="1"/>
  <c r="M1249" i="1"/>
  <c r="O1248" i="1"/>
  <c r="O1248" i="1" a="1"/>
  <c r="N1248" i="1"/>
  <c r="M1248" i="1"/>
  <c r="O1247" i="1"/>
  <c r="O1247" i="1" a="1"/>
  <c r="N1247" i="1"/>
  <c r="M1247" i="1"/>
  <c r="O1246" i="1"/>
  <c r="O1246" i="1" a="1"/>
  <c r="N1246" i="1"/>
  <c r="M1246" i="1"/>
  <c r="O1245" i="1"/>
  <c r="O1245" i="1" a="1"/>
  <c r="N1245" i="1"/>
  <c r="M1245" i="1"/>
  <c r="O1244" i="1"/>
  <c r="O1244" i="1" a="1"/>
  <c r="N1244" i="1"/>
  <c r="M1244" i="1"/>
  <c r="O1243" i="1"/>
  <c r="O1243" i="1" a="1"/>
  <c r="N1243" i="1"/>
  <c r="M1243" i="1"/>
  <c r="O1242" i="1"/>
  <c r="O1242" i="1" a="1"/>
  <c r="N1242" i="1"/>
  <c r="M1242" i="1"/>
  <c r="O1241" i="1"/>
  <c r="O1241" i="1" a="1"/>
  <c r="N1241" i="1"/>
  <c r="M1241" i="1"/>
  <c r="O1240" i="1"/>
  <c r="O1240" i="1" a="1"/>
  <c r="N1240" i="1"/>
  <c r="M1240" i="1"/>
  <c r="O1239" i="1"/>
  <c r="O1239" i="1" a="1"/>
  <c r="N1239" i="1"/>
  <c r="M1239" i="1"/>
  <c r="O1238" i="1"/>
  <c r="O1238" i="1" a="1"/>
  <c r="N1238" i="1"/>
  <c r="M1238" i="1"/>
  <c r="O1237" i="1"/>
  <c r="O1237" i="1" a="1"/>
  <c r="N1237" i="1"/>
  <c r="M1237" i="1"/>
  <c r="O1236" i="1"/>
  <c r="O1236" i="1" a="1"/>
  <c r="N1236" i="1"/>
  <c r="M1236" i="1"/>
  <c r="O1235" i="1"/>
  <c r="O1235" i="1" a="1"/>
  <c r="N1235" i="1"/>
  <c r="M1235" i="1"/>
  <c r="O1234" i="1"/>
  <c r="O1234" i="1" a="1"/>
  <c r="N1234" i="1"/>
  <c r="M1234" i="1"/>
  <c r="O1233" i="1"/>
  <c r="O1233" i="1" a="1"/>
  <c r="N1233" i="1"/>
  <c r="M1233" i="1"/>
  <c r="O1232" i="1"/>
  <c r="O1232" i="1" a="1"/>
  <c r="N1232" i="1"/>
  <c r="M1232" i="1"/>
  <c r="O1231" i="1"/>
  <c r="O1231" i="1" a="1"/>
  <c r="N1231" i="1"/>
  <c r="M1231" i="1"/>
  <c r="O1230" i="1"/>
  <c r="O1230" i="1" a="1"/>
  <c r="N1230" i="1"/>
  <c r="M1230" i="1"/>
  <c r="O1229" i="1"/>
  <c r="O1229" i="1" a="1"/>
  <c r="N1229" i="1"/>
  <c r="M1229" i="1"/>
  <c r="O1228" i="1"/>
  <c r="O1228" i="1" a="1"/>
  <c r="N1228" i="1"/>
  <c r="M1228" i="1"/>
  <c r="O1227" i="1"/>
  <c r="O1227" i="1" a="1"/>
  <c r="N1227" i="1"/>
  <c r="M1227" i="1"/>
  <c r="O1226" i="1"/>
  <c r="O1226" i="1" a="1"/>
  <c r="N1226" i="1"/>
  <c r="M1226" i="1"/>
  <c r="O1225" i="1"/>
  <c r="O1225" i="1" a="1"/>
  <c r="N1225" i="1"/>
  <c r="M1225" i="1"/>
  <c r="O1224" i="1"/>
  <c r="O1224" i="1" a="1"/>
  <c r="N1224" i="1"/>
  <c r="M1224" i="1"/>
  <c r="O1223" i="1"/>
  <c r="O1223" i="1" a="1"/>
  <c r="N1223" i="1"/>
  <c r="M1223" i="1"/>
  <c r="O1222" i="1"/>
  <c r="O1222" i="1" a="1"/>
  <c r="N1222" i="1"/>
  <c r="M1222" i="1"/>
  <c r="O1221" i="1"/>
  <c r="O1221" i="1" a="1"/>
  <c r="N1221" i="1"/>
  <c r="M1221" i="1"/>
  <c r="O1220" i="1"/>
  <c r="O1220" i="1" a="1"/>
  <c r="N1220" i="1"/>
  <c r="M1220" i="1"/>
  <c r="O1219" i="1"/>
  <c r="O1219" i="1" a="1"/>
  <c r="N1219" i="1"/>
  <c r="M1219" i="1"/>
  <c r="O1218" i="1"/>
  <c r="O1218" i="1" a="1"/>
  <c r="N1218" i="1"/>
  <c r="M1218" i="1"/>
  <c r="O1217" i="1"/>
  <c r="O1217" i="1" a="1"/>
  <c r="N1217" i="1"/>
  <c r="M1217" i="1"/>
  <c r="O1216" i="1"/>
  <c r="O1216" i="1" a="1"/>
  <c r="N1216" i="1"/>
  <c r="M1216" i="1"/>
  <c r="O1215" i="1"/>
  <c r="O1215" i="1" a="1"/>
  <c r="N1215" i="1"/>
  <c r="M1215" i="1"/>
  <c r="O1214" i="1"/>
  <c r="O1214" i="1" a="1"/>
  <c r="N1214" i="1"/>
  <c r="M1214" i="1"/>
  <c r="O1213" i="1"/>
  <c r="O1213" i="1" a="1"/>
  <c r="N1213" i="1"/>
  <c r="M1213" i="1"/>
  <c r="O1212" i="1"/>
  <c r="O1212" i="1" a="1"/>
  <c r="N1212" i="1"/>
  <c r="M1212" i="1"/>
  <c r="O1211" i="1"/>
  <c r="O1211" i="1" a="1"/>
  <c r="N1211" i="1"/>
  <c r="M1211" i="1"/>
  <c r="O1210" i="1"/>
  <c r="O1210" i="1" a="1"/>
  <c r="N1210" i="1"/>
  <c r="M1210" i="1"/>
  <c r="O1209" i="1"/>
  <c r="O1209" i="1" a="1"/>
  <c r="N1209" i="1"/>
  <c r="M1209" i="1"/>
  <c r="O1208" i="1"/>
  <c r="O1208" i="1" a="1"/>
  <c r="N1208" i="1"/>
  <c r="M1208" i="1"/>
  <c r="O1207" i="1"/>
  <c r="O1207" i="1" a="1"/>
  <c r="N1207" i="1"/>
  <c r="M1207" i="1"/>
  <c r="O1206" i="1"/>
  <c r="O1206" i="1" a="1"/>
  <c r="N1206" i="1"/>
  <c r="M1206" i="1"/>
  <c r="O1205" i="1"/>
  <c r="O1205" i="1" a="1"/>
  <c r="N1205" i="1"/>
  <c r="M1205" i="1"/>
  <c r="O1204" i="1"/>
  <c r="O1204" i="1" a="1"/>
  <c r="N1204" i="1"/>
  <c r="M1204" i="1"/>
  <c r="O1203" i="1"/>
  <c r="O1203" i="1" a="1"/>
  <c r="N1203" i="1"/>
  <c r="M1203" i="1"/>
  <c r="O1202" i="1"/>
  <c r="O1202" i="1" a="1"/>
  <c r="N1202" i="1"/>
  <c r="M1202" i="1"/>
  <c r="O1201" i="1"/>
  <c r="O1201" i="1" a="1"/>
  <c r="N1201" i="1"/>
  <c r="M1201" i="1"/>
  <c r="O1200" i="1"/>
  <c r="O1200" i="1" a="1"/>
  <c r="N1200" i="1"/>
  <c r="M1200" i="1"/>
  <c r="O1199" i="1"/>
  <c r="O1199" i="1" a="1"/>
  <c r="N1199" i="1"/>
  <c r="M1199" i="1"/>
  <c r="O1198" i="1"/>
  <c r="O1198" i="1" a="1"/>
  <c r="N1198" i="1"/>
  <c r="M1198" i="1"/>
  <c r="O1197" i="1"/>
  <c r="O1197" i="1" a="1"/>
  <c r="N1197" i="1"/>
  <c r="M1197" i="1"/>
  <c r="O1196" i="1"/>
  <c r="O1196" i="1" a="1"/>
  <c r="N1196" i="1"/>
  <c r="M1196" i="1"/>
  <c r="O1195" i="1"/>
  <c r="O1195" i="1" a="1"/>
  <c r="N1195" i="1"/>
  <c r="M1195" i="1"/>
  <c r="O1194" i="1"/>
  <c r="O1194" i="1" a="1"/>
  <c r="N1194" i="1"/>
  <c r="M1194" i="1"/>
  <c r="O1193" i="1"/>
  <c r="O1193" i="1" a="1"/>
  <c r="N1193" i="1"/>
  <c r="M1193" i="1"/>
  <c r="O1192" i="1"/>
  <c r="O1192" i="1" a="1"/>
  <c r="N1192" i="1"/>
  <c r="M1192" i="1"/>
  <c r="O1191" i="1"/>
  <c r="O1191" i="1" a="1"/>
  <c r="N1191" i="1"/>
  <c r="M1191" i="1"/>
  <c r="O1190" i="1"/>
  <c r="O1190" i="1" a="1"/>
  <c r="N1190" i="1"/>
  <c r="M1190" i="1"/>
  <c r="O1189" i="1"/>
  <c r="O1189" i="1" a="1"/>
  <c r="N1189" i="1"/>
  <c r="M1189" i="1"/>
  <c r="O1188" i="1"/>
  <c r="O1188" i="1" a="1"/>
  <c r="N1188" i="1"/>
  <c r="M1188" i="1"/>
  <c r="O1187" i="1"/>
  <c r="O1187" i="1" a="1"/>
  <c r="N1187" i="1"/>
  <c r="M1187" i="1"/>
  <c r="O1186" i="1"/>
  <c r="O1186" i="1" a="1"/>
  <c r="N1186" i="1"/>
  <c r="M1186" i="1"/>
  <c r="O1185" i="1"/>
  <c r="O1185" i="1" a="1"/>
  <c r="N1185" i="1"/>
  <c r="M1185" i="1"/>
  <c r="O1184" i="1"/>
  <c r="O1184" i="1" a="1"/>
  <c r="N1184" i="1"/>
  <c r="M1184" i="1"/>
  <c r="O1183" i="1"/>
  <c r="O1183" i="1" a="1"/>
  <c r="N1183" i="1"/>
  <c r="M1183" i="1"/>
  <c r="O1182" i="1"/>
  <c r="O1182" i="1" a="1"/>
  <c r="N1182" i="1"/>
  <c r="M1182" i="1"/>
  <c r="O1181" i="1"/>
  <c r="O1181" i="1" a="1"/>
  <c r="N1181" i="1"/>
  <c r="M1181" i="1"/>
  <c r="O1180" i="1"/>
  <c r="O1180" i="1" a="1"/>
  <c r="N1180" i="1"/>
  <c r="M1180" i="1"/>
  <c r="O1179" i="1"/>
  <c r="O1179" i="1" a="1"/>
  <c r="N1179" i="1"/>
  <c r="M1179" i="1"/>
  <c r="O1178" i="1"/>
  <c r="O1178" i="1" a="1"/>
  <c r="N1178" i="1"/>
  <c r="M1178" i="1"/>
  <c r="O1177" i="1"/>
  <c r="O1177" i="1" a="1"/>
  <c r="N1177" i="1"/>
  <c r="M1177" i="1"/>
  <c r="O1176" i="1"/>
  <c r="O1176" i="1" a="1"/>
  <c r="N1176" i="1"/>
  <c r="M1176" i="1"/>
  <c r="O1175" i="1"/>
  <c r="O1175" i="1" a="1"/>
  <c r="N1175" i="1"/>
  <c r="M1175" i="1"/>
  <c r="O1174" i="1"/>
  <c r="O1174" i="1" a="1"/>
  <c r="N1174" i="1"/>
  <c r="M1174" i="1"/>
  <c r="O1173" i="1"/>
  <c r="O1173" i="1" a="1"/>
  <c r="N1173" i="1"/>
  <c r="M1173" i="1"/>
  <c r="O1172" i="1"/>
  <c r="O1172" i="1" a="1"/>
  <c r="N1172" i="1"/>
  <c r="M1172" i="1"/>
  <c r="O1171" i="1"/>
  <c r="O1171" i="1" a="1"/>
  <c r="N1171" i="1"/>
  <c r="M1171" i="1"/>
  <c r="O1170" i="1"/>
  <c r="O1170" i="1" a="1"/>
  <c r="N1170" i="1"/>
  <c r="M1170" i="1"/>
  <c r="O1169" i="1"/>
  <c r="O1169" i="1" a="1"/>
  <c r="N1169" i="1"/>
  <c r="M1169" i="1"/>
  <c r="O1168" i="1"/>
  <c r="O1168" i="1" a="1"/>
  <c r="N1168" i="1"/>
  <c r="M1168" i="1"/>
  <c r="O1167" i="1"/>
  <c r="O1167" i="1" a="1"/>
  <c r="N1167" i="1"/>
  <c r="M1167" i="1"/>
  <c r="O1166" i="1"/>
  <c r="O1166" i="1" a="1"/>
  <c r="N1166" i="1"/>
  <c r="M1166" i="1"/>
  <c r="O1165" i="1"/>
  <c r="O1165" i="1" a="1"/>
  <c r="N1165" i="1"/>
  <c r="M1165" i="1"/>
  <c r="O1164" i="1"/>
  <c r="O1164" i="1" a="1"/>
  <c r="N1164" i="1"/>
  <c r="M1164" i="1"/>
  <c r="O1163" i="1"/>
  <c r="O1163" i="1" a="1"/>
  <c r="N1163" i="1"/>
  <c r="M1163" i="1"/>
  <c r="O1162" i="1"/>
  <c r="O1162" i="1" a="1"/>
  <c r="N1162" i="1"/>
  <c r="M1162" i="1"/>
  <c r="O1161" i="1"/>
  <c r="O1161" i="1" a="1"/>
  <c r="N1161" i="1"/>
  <c r="M1161" i="1"/>
  <c r="O1160" i="1"/>
  <c r="O1160" i="1" a="1"/>
  <c r="N1160" i="1"/>
  <c r="M1160" i="1"/>
  <c r="O1159" i="1"/>
  <c r="O1159" i="1" a="1"/>
  <c r="N1159" i="1"/>
  <c r="M1159" i="1"/>
  <c r="O1158" i="1"/>
  <c r="O1158" i="1" a="1"/>
  <c r="N1158" i="1"/>
  <c r="M1158" i="1"/>
  <c r="O1157" i="1"/>
  <c r="O1157" i="1" a="1"/>
  <c r="N1157" i="1"/>
  <c r="M1157" i="1"/>
  <c r="O1156" i="1"/>
  <c r="O1156" i="1" a="1"/>
  <c r="N1156" i="1"/>
  <c r="M1156" i="1"/>
  <c r="O1155" i="1"/>
  <c r="O1155" i="1" a="1"/>
  <c r="N1155" i="1"/>
  <c r="M1155" i="1"/>
  <c r="O1154" i="1"/>
  <c r="O1154" i="1" a="1"/>
  <c r="N1154" i="1"/>
  <c r="M1154" i="1"/>
  <c r="O1153" i="1"/>
  <c r="O1153" i="1" a="1"/>
  <c r="N1153" i="1"/>
  <c r="M1153" i="1"/>
  <c r="O1152" i="1"/>
  <c r="O1152" i="1" a="1"/>
  <c r="N1152" i="1"/>
  <c r="M1152" i="1"/>
  <c r="O1151" i="1"/>
  <c r="O1151" i="1" a="1"/>
  <c r="N1151" i="1"/>
  <c r="M1151" i="1"/>
  <c r="O1150" i="1"/>
  <c r="O1150" i="1" a="1"/>
  <c r="N1150" i="1"/>
  <c r="M1150" i="1"/>
  <c r="O1149" i="1"/>
  <c r="O1149" i="1" a="1"/>
  <c r="N1149" i="1"/>
  <c r="M1149" i="1"/>
  <c r="O1148" i="1"/>
  <c r="O1148" i="1" a="1"/>
  <c r="N1148" i="1"/>
  <c r="M1148" i="1"/>
  <c r="O1147" i="1"/>
  <c r="O1147" i="1" a="1"/>
  <c r="N1147" i="1"/>
  <c r="M1147" i="1"/>
  <c r="O1146" i="1"/>
  <c r="O1146" i="1" a="1"/>
  <c r="N1146" i="1"/>
  <c r="M1146" i="1"/>
  <c r="O1145" i="1"/>
  <c r="O1145" i="1" a="1"/>
  <c r="N1145" i="1"/>
  <c r="M1145" i="1"/>
  <c r="O1144" i="1"/>
  <c r="O1144" i="1" a="1"/>
  <c r="N1144" i="1"/>
  <c r="M1144" i="1"/>
  <c r="O1143" i="1"/>
  <c r="O1143" i="1" a="1"/>
  <c r="N1143" i="1"/>
  <c r="M1143" i="1"/>
  <c r="O1142" i="1"/>
  <c r="O1142" i="1" a="1"/>
  <c r="N1142" i="1"/>
  <c r="M1142" i="1"/>
  <c r="O1141" i="1"/>
  <c r="O1141" i="1" a="1"/>
  <c r="N1141" i="1"/>
  <c r="M1141" i="1"/>
  <c r="O1140" i="1"/>
  <c r="O1140" i="1" a="1"/>
  <c r="N1140" i="1"/>
  <c r="M1140" i="1"/>
  <c r="O1139" i="1"/>
  <c r="O1139" i="1" a="1"/>
  <c r="N1139" i="1"/>
  <c r="M1139" i="1"/>
  <c r="O1138" i="1"/>
  <c r="O1138" i="1" a="1"/>
  <c r="N1138" i="1"/>
  <c r="M1138" i="1"/>
  <c r="O1137" i="1"/>
  <c r="O1137" i="1" a="1"/>
  <c r="N1137" i="1"/>
  <c r="M1137" i="1"/>
  <c r="O1136" i="1"/>
  <c r="O1136" i="1" a="1"/>
  <c r="N1136" i="1"/>
  <c r="M1136" i="1"/>
  <c r="O1135" i="1"/>
  <c r="O1135" i="1" a="1"/>
  <c r="N1135" i="1"/>
  <c r="M1135" i="1"/>
  <c r="O1134" i="1"/>
  <c r="O1134" i="1" a="1"/>
  <c r="N1134" i="1"/>
  <c r="M1134" i="1"/>
  <c r="O1133" i="1"/>
  <c r="O1133" i="1" a="1"/>
  <c r="N1133" i="1"/>
  <c r="M1133" i="1"/>
  <c r="O1132" i="1"/>
  <c r="O1132" i="1" a="1"/>
  <c r="N1132" i="1"/>
  <c r="M1132" i="1"/>
  <c r="O1131" i="1"/>
  <c r="O1131" i="1" a="1"/>
  <c r="N1131" i="1"/>
  <c r="M1131" i="1"/>
  <c r="O1130" i="1"/>
  <c r="O1130" i="1" a="1"/>
  <c r="N1130" i="1"/>
  <c r="M1130" i="1"/>
  <c r="O1129" i="1"/>
  <c r="O1129" i="1" a="1"/>
  <c r="N1129" i="1"/>
  <c r="M1129" i="1"/>
  <c r="O1128" i="1"/>
  <c r="O1128" i="1" a="1"/>
  <c r="N1128" i="1"/>
  <c r="M1128" i="1"/>
  <c r="O1127" i="1"/>
  <c r="O1127" i="1" a="1"/>
  <c r="N1127" i="1"/>
  <c r="M1127" i="1"/>
  <c r="O1126" i="1"/>
  <c r="O1126" i="1" a="1"/>
  <c r="N1126" i="1"/>
  <c r="M1126" i="1"/>
  <c r="O1125" i="1"/>
  <c r="O1125" i="1" a="1"/>
  <c r="N1125" i="1"/>
  <c r="M1125" i="1"/>
  <c r="O1124" i="1"/>
  <c r="O1124" i="1" a="1"/>
  <c r="N1124" i="1"/>
  <c r="M1124" i="1"/>
  <c r="O1123" i="1"/>
  <c r="O1123" i="1" a="1"/>
  <c r="N1123" i="1"/>
  <c r="M1123" i="1"/>
  <c r="O1122" i="1"/>
  <c r="O1122" i="1" a="1"/>
  <c r="N1122" i="1"/>
  <c r="M1122" i="1"/>
  <c r="O1121" i="1"/>
  <c r="O1121" i="1" a="1"/>
  <c r="N1121" i="1"/>
  <c r="M1121" i="1"/>
  <c r="O1120" i="1"/>
  <c r="O1120" i="1" a="1"/>
  <c r="N1120" i="1"/>
  <c r="M1120" i="1"/>
  <c r="O1119" i="1"/>
  <c r="O1119" i="1" a="1"/>
  <c r="N1119" i="1"/>
  <c r="M1119" i="1"/>
  <c r="O1118" i="1"/>
  <c r="O1118" i="1" a="1"/>
  <c r="N1118" i="1"/>
  <c r="M1118" i="1"/>
  <c r="O1117" i="1"/>
  <c r="O1117" i="1" a="1"/>
  <c r="N1117" i="1"/>
  <c r="M1117" i="1"/>
  <c r="O1116" i="1"/>
  <c r="O1116" i="1" a="1"/>
  <c r="N1116" i="1"/>
  <c r="M1116" i="1"/>
  <c r="O1115" i="1"/>
  <c r="O1115" i="1" a="1"/>
  <c r="N1115" i="1"/>
  <c r="M1115" i="1"/>
  <c r="O1114" i="1"/>
  <c r="O1114" i="1" a="1"/>
  <c r="N1114" i="1"/>
  <c r="M1114" i="1"/>
  <c r="O1113" i="1"/>
  <c r="O1113" i="1" a="1"/>
  <c r="N1113" i="1"/>
  <c r="M1113" i="1"/>
  <c r="O1112" i="1"/>
  <c r="O1112" i="1" a="1"/>
  <c r="N1112" i="1"/>
  <c r="M1112" i="1"/>
  <c r="O1111" i="1"/>
  <c r="O1111" i="1" a="1"/>
  <c r="N1111" i="1"/>
  <c r="M1111" i="1"/>
  <c r="O1110" i="1"/>
  <c r="O1110" i="1" a="1"/>
  <c r="N1110" i="1"/>
  <c r="M1110" i="1"/>
  <c r="O1109" i="1"/>
  <c r="O1109" i="1" a="1"/>
  <c r="N1109" i="1"/>
  <c r="M1109" i="1"/>
  <c r="O1108" i="1"/>
  <c r="O1108" i="1" a="1"/>
  <c r="N1108" i="1"/>
  <c r="M1108" i="1"/>
  <c r="O1107" i="1"/>
  <c r="O1107" i="1" a="1"/>
  <c r="N1107" i="1"/>
  <c r="M1107" i="1"/>
  <c r="O1106" i="1"/>
  <c r="O1106" i="1" a="1"/>
  <c r="N1106" i="1"/>
  <c r="M1106" i="1"/>
  <c r="O1105" i="1"/>
  <c r="O1105" i="1" a="1"/>
  <c r="N1105" i="1"/>
  <c r="M1105" i="1"/>
  <c r="O1104" i="1"/>
  <c r="O1104" i="1" a="1"/>
  <c r="N1104" i="1"/>
  <c r="M1104" i="1"/>
  <c r="O1103" i="1"/>
  <c r="O1103" i="1" a="1"/>
  <c r="N1103" i="1"/>
  <c r="M1103" i="1"/>
  <c r="O1102" i="1"/>
  <c r="O1102" i="1" a="1"/>
  <c r="N1102" i="1"/>
  <c r="M1102" i="1"/>
  <c r="O1101" i="1"/>
  <c r="O1101" i="1" a="1"/>
  <c r="N1101" i="1"/>
  <c r="M1101" i="1"/>
  <c r="O1100" i="1"/>
  <c r="O1100" i="1" a="1"/>
  <c r="N1100" i="1"/>
  <c r="M1100" i="1"/>
  <c r="O1099" i="1"/>
  <c r="O1099" i="1" a="1"/>
  <c r="N1099" i="1"/>
  <c r="M1099" i="1"/>
  <c r="O1098" i="1"/>
  <c r="O1098" i="1" a="1"/>
  <c r="N1098" i="1"/>
  <c r="M1098" i="1"/>
  <c r="O1097" i="1"/>
  <c r="O1097" i="1" a="1"/>
  <c r="N1097" i="1"/>
  <c r="M1097" i="1"/>
  <c r="O1096" i="1"/>
  <c r="O1096" i="1" a="1"/>
  <c r="N1096" i="1"/>
  <c r="M1096" i="1"/>
  <c r="O1095" i="1"/>
  <c r="O1095" i="1" a="1"/>
  <c r="N1095" i="1"/>
  <c r="M1095" i="1"/>
  <c r="O1094" i="1"/>
  <c r="O1094" i="1" a="1"/>
  <c r="N1094" i="1"/>
  <c r="M1094" i="1"/>
  <c r="O1093" i="1"/>
  <c r="O1093" i="1" a="1"/>
  <c r="N1093" i="1"/>
  <c r="M1093" i="1"/>
  <c r="O1092" i="1"/>
  <c r="O1092" i="1" a="1"/>
  <c r="N1092" i="1"/>
  <c r="M1092" i="1"/>
  <c r="O1091" i="1"/>
  <c r="O1091" i="1" a="1"/>
  <c r="N1091" i="1"/>
  <c r="M1091" i="1"/>
  <c r="O1090" i="1"/>
  <c r="O1090" i="1" a="1"/>
  <c r="N1090" i="1"/>
  <c r="M1090" i="1"/>
  <c r="O1089" i="1"/>
  <c r="O1089" i="1" a="1"/>
  <c r="N1089" i="1"/>
  <c r="M1089" i="1"/>
  <c r="O1088" i="1"/>
  <c r="O1088" i="1" a="1"/>
  <c r="N1088" i="1"/>
  <c r="M1088" i="1"/>
  <c r="O1087" i="1"/>
  <c r="O1087" i="1" a="1"/>
  <c r="N1087" i="1"/>
  <c r="M1087" i="1"/>
  <c r="O1086" i="1"/>
  <c r="O1086" i="1" a="1"/>
  <c r="N1086" i="1"/>
  <c r="M1086" i="1"/>
  <c r="O1085" i="1"/>
  <c r="O1085" i="1" a="1"/>
  <c r="N1085" i="1"/>
  <c r="M1085" i="1"/>
  <c r="O1084" i="1"/>
  <c r="O1084" i="1" a="1"/>
  <c r="N1084" i="1"/>
  <c r="M1084" i="1"/>
  <c r="O1083" i="1"/>
  <c r="O1083" i="1" a="1"/>
  <c r="N1083" i="1"/>
  <c r="M1083" i="1"/>
  <c r="O1082" i="1"/>
  <c r="O1082" i="1" a="1"/>
  <c r="N1082" i="1"/>
  <c r="M1082" i="1"/>
  <c r="O1081" i="1"/>
  <c r="O1081" i="1" a="1"/>
  <c r="N1081" i="1"/>
  <c r="M1081" i="1"/>
  <c r="O1080" i="1"/>
  <c r="O1080" i="1" a="1"/>
  <c r="N1080" i="1"/>
  <c r="M1080" i="1"/>
  <c r="O1079" i="1"/>
  <c r="O1079" i="1" a="1"/>
  <c r="N1079" i="1"/>
  <c r="M1079" i="1"/>
  <c r="O1078" i="1"/>
  <c r="O1078" i="1" a="1"/>
  <c r="N1078" i="1"/>
  <c r="M1078" i="1"/>
  <c r="O1077" i="1"/>
  <c r="O1077" i="1" a="1"/>
  <c r="N1077" i="1"/>
  <c r="M1077" i="1"/>
  <c r="O1076" i="1"/>
  <c r="O1076" i="1" a="1"/>
  <c r="N1076" i="1"/>
  <c r="M1076" i="1"/>
  <c r="O1075" i="1"/>
  <c r="O1075" i="1" a="1"/>
  <c r="N1075" i="1"/>
  <c r="M1075" i="1"/>
  <c r="O1074" i="1"/>
  <c r="O1074" i="1" a="1"/>
  <c r="N1074" i="1"/>
  <c r="M1074" i="1"/>
  <c r="O1073" i="1"/>
  <c r="O1073" i="1" a="1"/>
  <c r="N1073" i="1"/>
  <c r="M1073" i="1"/>
  <c r="O1072" i="1"/>
  <c r="O1072" i="1" a="1"/>
  <c r="N1072" i="1"/>
  <c r="M1072" i="1"/>
  <c r="O1071" i="1"/>
  <c r="O1071" i="1" a="1"/>
  <c r="N1071" i="1"/>
  <c r="M1071" i="1"/>
  <c r="O1070" i="1"/>
  <c r="O1070" i="1" a="1"/>
  <c r="N1070" i="1"/>
  <c r="M1070" i="1"/>
  <c r="O1069" i="1"/>
  <c r="O1069" i="1" a="1"/>
  <c r="N1069" i="1"/>
  <c r="M1069" i="1"/>
  <c r="O1068" i="1"/>
  <c r="O1068" i="1" a="1"/>
  <c r="N1068" i="1"/>
  <c r="M1068" i="1"/>
  <c r="O1067" i="1"/>
  <c r="O1067" i="1" a="1"/>
  <c r="N1067" i="1"/>
  <c r="M1067" i="1"/>
  <c r="O1066" i="1"/>
  <c r="O1066" i="1" a="1"/>
  <c r="N1066" i="1"/>
  <c r="M1066" i="1"/>
  <c r="O1065" i="1"/>
  <c r="O1065" i="1" a="1"/>
  <c r="N1065" i="1"/>
  <c r="M1065" i="1"/>
  <c r="O1064" i="1"/>
  <c r="O1064" i="1" a="1"/>
  <c r="N1064" i="1"/>
  <c r="M1064" i="1"/>
  <c r="O1063" i="1"/>
  <c r="O1063" i="1" a="1"/>
  <c r="N1063" i="1"/>
  <c r="M1063" i="1"/>
  <c r="O1062" i="1"/>
  <c r="O1062" i="1" a="1"/>
  <c r="N1062" i="1"/>
  <c r="M1062" i="1"/>
  <c r="O1061" i="1"/>
  <c r="O1061" i="1" a="1"/>
  <c r="N1061" i="1"/>
  <c r="M1061" i="1"/>
  <c r="O1060" i="1"/>
  <c r="O1060" i="1" a="1"/>
  <c r="N1060" i="1"/>
  <c r="M1060" i="1"/>
  <c r="O1059" i="1"/>
  <c r="O1059" i="1" a="1"/>
  <c r="N1059" i="1"/>
  <c r="M1059" i="1"/>
  <c r="O1058" i="1"/>
  <c r="O1058" i="1" a="1"/>
  <c r="N1058" i="1"/>
  <c r="M1058" i="1"/>
  <c r="O1057" i="1"/>
  <c r="O1057" i="1" a="1"/>
  <c r="N1057" i="1"/>
  <c r="M1057" i="1"/>
  <c r="O1056" i="1"/>
  <c r="O1056" i="1" a="1"/>
  <c r="N1056" i="1"/>
  <c r="M1056" i="1"/>
  <c r="O1055" i="1"/>
  <c r="O1055" i="1" a="1"/>
  <c r="N1055" i="1"/>
  <c r="M1055" i="1"/>
  <c r="O1054" i="1"/>
  <c r="O1054" i="1" a="1"/>
  <c r="N1054" i="1"/>
  <c r="M1054" i="1"/>
  <c r="O1053" i="1"/>
  <c r="O1053" i="1" a="1"/>
  <c r="N1053" i="1"/>
  <c r="M1053" i="1"/>
  <c r="O1052" i="1"/>
  <c r="O1052" i="1" a="1"/>
  <c r="N1052" i="1"/>
  <c r="M1052" i="1"/>
  <c r="O1051" i="1"/>
  <c r="O1051" i="1" a="1"/>
  <c r="N1051" i="1"/>
  <c r="M1051" i="1"/>
  <c r="O1050" i="1"/>
  <c r="O1050" i="1" a="1"/>
  <c r="N1050" i="1"/>
  <c r="M1050" i="1"/>
  <c r="O1049" i="1"/>
  <c r="O1049" i="1" a="1"/>
  <c r="N1049" i="1"/>
  <c r="M1049" i="1"/>
  <c r="O1048" i="1"/>
  <c r="O1048" i="1" a="1"/>
  <c r="N1048" i="1"/>
  <c r="M1048" i="1"/>
  <c r="O1047" i="1"/>
  <c r="O1047" i="1" a="1"/>
  <c r="N1047" i="1"/>
  <c r="M1047" i="1"/>
  <c r="O1046" i="1"/>
  <c r="O1046" i="1" a="1"/>
  <c r="N1046" i="1"/>
  <c r="M1046" i="1"/>
  <c r="O1045" i="1"/>
  <c r="O1045" i="1" a="1"/>
  <c r="N1045" i="1"/>
  <c r="M1045" i="1"/>
  <c r="O1044" i="1"/>
  <c r="O1044" i="1" a="1"/>
  <c r="N1044" i="1"/>
  <c r="M1044" i="1"/>
  <c r="O1043" i="1"/>
  <c r="O1043" i="1" a="1"/>
  <c r="N1043" i="1"/>
  <c r="M1043" i="1"/>
  <c r="O1042" i="1"/>
  <c r="O1042" i="1" a="1"/>
  <c r="N1042" i="1"/>
  <c r="M1042" i="1"/>
  <c r="O1041" i="1"/>
  <c r="O1041" i="1" a="1"/>
  <c r="N1041" i="1"/>
  <c r="M1041" i="1"/>
  <c r="O1040" i="1"/>
  <c r="O1040" i="1" a="1"/>
  <c r="N1040" i="1"/>
  <c r="M1040" i="1"/>
  <c r="O1039" i="1"/>
  <c r="O1039" i="1" a="1"/>
  <c r="N1039" i="1"/>
  <c r="M1039" i="1"/>
  <c r="O1038" i="1"/>
  <c r="O1038" i="1" a="1"/>
  <c r="N1038" i="1"/>
  <c r="M1038" i="1"/>
  <c r="O1037" i="1"/>
  <c r="O1037" i="1" a="1"/>
  <c r="N1037" i="1"/>
  <c r="M1037" i="1"/>
  <c r="O1036" i="1"/>
  <c r="O1036" i="1" a="1"/>
  <c r="N1036" i="1"/>
  <c r="M1036" i="1"/>
  <c r="O1035" i="1"/>
  <c r="O1035" i="1" a="1"/>
  <c r="N1035" i="1"/>
  <c r="M1035" i="1"/>
  <c r="O1034" i="1"/>
  <c r="O1034" i="1" a="1"/>
  <c r="N1034" i="1"/>
  <c r="M1034" i="1"/>
  <c r="O1033" i="1"/>
  <c r="O1033" i="1" a="1"/>
  <c r="N1033" i="1"/>
  <c r="M1033" i="1"/>
  <c r="O1032" i="1"/>
  <c r="O1032" i="1" a="1"/>
  <c r="N1032" i="1"/>
  <c r="M1032" i="1"/>
  <c r="O1031" i="1"/>
  <c r="O1031" i="1" a="1"/>
  <c r="N1031" i="1"/>
  <c r="M1031" i="1"/>
  <c r="O1030" i="1"/>
  <c r="O1030" i="1" a="1"/>
  <c r="N1030" i="1"/>
  <c r="M1030" i="1"/>
  <c r="O1029" i="1"/>
  <c r="O1029" i="1" a="1"/>
  <c r="N1029" i="1"/>
  <c r="M1029" i="1"/>
  <c r="O1028" i="1"/>
  <c r="O1028" i="1" a="1"/>
  <c r="N1028" i="1"/>
  <c r="M1028" i="1"/>
  <c r="O1027" i="1"/>
  <c r="O1027" i="1" a="1"/>
  <c r="N1027" i="1"/>
  <c r="M1027" i="1"/>
  <c r="O1026" i="1"/>
  <c r="O1026" i="1" a="1"/>
  <c r="N1026" i="1"/>
  <c r="M1026" i="1"/>
  <c r="O1025" i="1"/>
  <c r="O1025" i="1" a="1"/>
  <c r="N1025" i="1"/>
  <c r="M1025" i="1"/>
  <c r="O1024" i="1"/>
  <c r="O1024" i="1" a="1"/>
  <c r="N1024" i="1"/>
  <c r="M1024" i="1"/>
  <c r="O1023" i="1"/>
  <c r="O1023" i="1" a="1"/>
  <c r="N1023" i="1"/>
  <c r="M1023" i="1"/>
  <c r="O1022" i="1"/>
  <c r="O1022" i="1" a="1"/>
  <c r="N1022" i="1"/>
  <c r="M1022" i="1"/>
  <c r="O1021" i="1"/>
  <c r="O1021" i="1" a="1"/>
  <c r="N1021" i="1"/>
  <c r="M1021" i="1"/>
  <c r="O1020" i="1"/>
  <c r="O1020" i="1" a="1"/>
  <c r="N1020" i="1"/>
  <c r="M1020" i="1"/>
  <c r="O1019" i="1"/>
  <c r="O1019" i="1" a="1"/>
  <c r="N1019" i="1"/>
  <c r="M1019" i="1"/>
  <c r="O1018" i="1"/>
  <c r="O1018" i="1" a="1"/>
  <c r="N1018" i="1"/>
  <c r="M1018" i="1"/>
  <c r="O1017" i="1"/>
  <c r="O1017" i="1" a="1"/>
  <c r="N1017" i="1"/>
  <c r="M1017" i="1"/>
  <c r="O1016" i="1"/>
  <c r="O1016" i="1" a="1"/>
  <c r="N1016" i="1"/>
  <c r="M1016" i="1"/>
  <c r="O1015" i="1"/>
  <c r="O1015" i="1" a="1"/>
  <c r="N1015" i="1"/>
  <c r="M1015" i="1"/>
  <c r="O1014" i="1"/>
  <c r="O1014" i="1" a="1"/>
  <c r="N1014" i="1"/>
  <c r="M1014" i="1"/>
  <c r="O1013" i="1"/>
  <c r="O1013" i="1" a="1"/>
  <c r="N1013" i="1"/>
  <c r="M1013" i="1"/>
  <c r="O1012" i="1"/>
  <c r="O1012" i="1" a="1"/>
  <c r="N1012" i="1"/>
  <c r="M1012" i="1"/>
  <c r="O1011" i="1"/>
  <c r="O1011" i="1" a="1"/>
  <c r="N1011" i="1"/>
  <c r="M1011" i="1"/>
  <c r="O1010" i="1"/>
  <c r="O1010" i="1" a="1"/>
  <c r="N1010" i="1"/>
  <c r="M1010" i="1"/>
  <c r="O1009" i="1"/>
  <c r="O1009" i="1" a="1"/>
  <c r="N1009" i="1"/>
  <c r="M1009" i="1"/>
  <c r="O1008" i="1"/>
  <c r="O1008" i="1" a="1"/>
  <c r="N1008" i="1"/>
  <c r="M1008" i="1"/>
  <c r="O1007" i="1"/>
  <c r="O1007" i="1" a="1"/>
  <c r="N1007" i="1"/>
  <c r="M1007" i="1"/>
  <c r="O1006" i="1"/>
  <c r="O1006" i="1" a="1"/>
  <c r="N1006" i="1"/>
  <c r="M1006" i="1"/>
  <c r="O1005" i="1"/>
  <c r="O1005" i="1" a="1"/>
  <c r="N1005" i="1"/>
  <c r="M1005" i="1"/>
  <c r="O1004" i="1"/>
  <c r="O1004" i="1" a="1"/>
  <c r="N1004" i="1"/>
  <c r="M1004" i="1"/>
  <c r="O1003" i="1"/>
  <c r="O1003" i="1" a="1"/>
  <c r="N1003" i="1"/>
  <c r="M1003" i="1"/>
  <c r="O1002" i="1"/>
  <c r="O1002" i="1" a="1"/>
  <c r="N1002" i="1"/>
  <c r="M1002" i="1"/>
  <c r="O1001" i="1"/>
  <c r="O1001" i="1" a="1"/>
  <c r="N1001" i="1"/>
  <c r="M1001" i="1"/>
  <c r="O1000" i="1"/>
  <c r="O1000" i="1" a="1"/>
  <c r="N1000" i="1"/>
  <c r="M1000" i="1"/>
  <c r="O999" i="1"/>
  <c r="O999" i="1" a="1"/>
  <c r="N999" i="1"/>
  <c r="M999" i="1"/>
  <c r="O998" i="1"/>
  <c r="O998" i="1" a="1"/>
  <c r="N998" i="1"/>
  <c r="M998" i="1"/>
  <c r="O997" i="1"/>
  <c r="O997" i="1" a="1"/>
  <c r="N997" i="1"/>
  <c r="M997" i="1"/>
  <c r="O996" i="1"/>
  <c r="O996" i="1" a="1"/>
  <c r="N996" i="1"/>
  <c r="M996" i="1"/>
  <c r="O995" i="1"/>
  <c r="O995" i="1" a="1"/>
  <c r="N995" i="1"/>
  <c r="M995" i="1"/>
  <c r="O994" i="1"/>
  <c r="O994" i="1" a="1"/>
  <c r="N994" i="1"/>
  <c r="M994" i="1"/>
  <c r="O993" i="1"/>
  <c r="O993" i="1" a="1"/>
  <c r="N993" i="1"/>
  <c r="M993" i="1"/>
  <c r="O992" i="1"/>
  <c r="O992" i="1" a="1"/>
  <c r="N992" i="1"/>
  <c r="M992" i="1"/>
  <c r="O991" i="1"/>
  <c r="O991" i="1" a="1"/>
  <c r="N991" i="1"/>
  <c r="M991" i="1"/>
  <c r="O990" i="1"/>
  <c r="O990" i="1" a="1"/>
  <c r="N990" i="1"/>
  <c r="M990" i="1"/>
  <c r="O989" i="1"/>
  <c r="O989" i="1" a="1"/>
  <c r="N989" i="1"/>
  <c r="M989" i="1"/>
  <c r="O988" i="1"/>
  <c r="O988" i="1" a="1"/>
  <c r="N988" i="1"/>
  <c r="M988" i="1"/>
  <c r="O987" i="1"/>
  <c r="O987" i="1" a="1"/>
  <c r="N987" i="1"/>
  <c r="M987" i="1"/>
  <c r="O986" i="1"/>
  <c r="O986" i="1" a="1"/>
  <c r="N986" i="1"/>
  <c r="M986" i="1"/>
  <c r="O985" i="1"/>
  <c r="O985" i="1" a="1"/>
  <c r="N985" i="1"/>
  <c r="M985" i="1"/>
  <c r="O984" i="1"/>
  <c r="O984" i="1" a="1"/>
  <c r="N984" i="1"/>
  <c r="M984" i="1"/>
  <c r="O983" i="1"/>
  <c r="O983" i="1" a="1"/>
  <c r="N983" i="1"/>
  <c r="M983" i="1"/>
  <c r="O982" i="1"/>
  <c r="O982" i="1" a="1"/>
  <c r="N982" i="1"/>
  <c r="M982" i="1"/>
  <c r="O981" i="1"/>
  <c r="O981" i="1" a="1"/>
  <c r="N981" i="1"/>
  <c r="M981" i="1"/>
  <c r="O980" i="1"/>
  <c r="O980" i="1" a="1"/>
  <c r="N980" i="1"/>
  <c r="M980" i="1"/>
  <c r="O979" i="1"/>
  <c r="O979" i="1" a="1"/>
  <c r="N979" i="1"/>
  <c r="M979" i="1"/>
  <c r="O978" i="1"/>
  <c r="O978" i="1" a="1"/>
  <c r="N978" i="1"/>
  <c r="M978" i="1"/>
  <c r="O977" i="1"/>
  <c r="O977" i="1" a="1"/>
  <c r="N977" i="1"/>
  <c r="M977" i="1"/>
  <c r="O976" i="1"/>
  <c r="O976" i="1" a="1"/>
  <c r="N976" i="1"/>
  <c r="M976" i="1"/>
  <c r="O975" i="1"/>
  <c r="O975" i="1" a="1"/>
  <c r="N975" i="1"/>
  <c r="M975" i="1"/>
  <c r="O974" i="1"/>
  <c r="O974" i="1" a="1"/>
  <c r="N974" i="1"/>
  <c r="M974" i="1"/>
  <c r="O973" i="1"/>
  <c r="O973" i="1" a="1"/>
  <c r="N973" i="1"/>
  <c r="M973" i="1"/>
  <c r="O972" i="1"/>
  <c r="O972" i="1" a="1"/>
  <c r="N972" i="1"/>
  <c r="M972" i="1"/>
  <c r="O971" i="1"/>
  <c r="O971" i="1" a="1"/>
  <c r="N971" i="1"/>
  <c r="M971" i="1"/>
  <c r="O970" i="1"/>
  <c r="O970" i="1" a="1"/>
  <c r="N970" i="1"/>
  <c r="M970" i="1"/>
  <c r="O969" i="1"/>
  <c r="O969" i="1" a="1"/>
  <c r="N969" i="1"/>
  <c r="M969" i="1"/>
  <c r="O968" i="1"/>
  <c r="O968" i="1" a="1"/>
  <c r="N968" i="1"/>
  <c r="M968" i="1"/>
  <c r="O967" i="1"/>
  <c r="O967" i="1" a="1"/>
  <c r="N967" i="1"/>
  <c r="M967" i="1"/>
  <c r="O966" i="1"/>
  <c r="O966" i="1" a="1"/>
  <c r="N966" i="1"/>
  <c r="M966" i="1"/>
  <c r="O965" i="1"/>
  <c r="O965" i="1" a="1"/>
  <c r="N965" i="1"/>
  <c r="M965" i="1"/>
  <c r="O964" i="1"/>
  <c r="O964" i="1" a="1"/>
  <c r="N964" i="1"/>
  <c r="M964" i="1"/>
  <c r="O963" i="1"/>
  <c r="O963" i="1" a="1"/>
  <c r="N963" i="1"/>
  <c r="M963" i="1"/>
  <c r="O962" i="1"/>
  <c r="O962" i="1" a="1"/>
  <c r="N962" i="1"/>
  <c r="M962" i="1"/>
  <c r="O961" i="1"/>
  <c r="O961" i="1" a="1"/>
  <c r="N961" i="1"/>
  <c r="M961" i="1"/>
  <c r="O960" i="1"/>
  <c r="O960" i="1" a="1"/>
  <c r="N960" i="1"/>
  <c r="M960" i="1"/>
  <c r="O959" i="1"/>
  <c r="O959" i="1" a="1"/>
  <c r="N959" i="1"/>
  <c r="M959" i="1"/>
  <c r="O958" i="1"/>
  <c r="O958" i="1" a="1"/>
  <c r="N958" i="1"/>
  <c r="M958" i="1"/>
  <c r="O957" i="1"/>
  <c r="O957" i="1" a="1"/>
  <c r="N957" i="1"/>
  <c r="M957" i="1"/>
  <c r="O956" i="1"/>
  <c r="O956" i="1" a="1"/>
  <c r="N956" i="1"/>
  <c r="M956" i="1"/>
  <c r="O955" i="1"/>
  <c r="O955" i="1" a="1"/>
  <c r="N955" i="1"/>
  <c r="M955" i="1"/>
  <c r="O954" i="1"/>
  <c r="O954" i="1" a="1"/>
  <c r="N954" i="1"/>
  <c r="M954" i="1"/>
  <c r="O953" i="1"/>
  <c r="O953" i="1" a="1"/>
  <c r="N953" i="1"/>
  <c r="M953" i="1"/>
  <c r="O952" i="1"/>
  <c r="O952" i="1" a="1"/>
  <c r="N952" i="1"/>
  <c r="M952" i="1"/>
  <c r="O951" i="1"/>
  <c r="O951" i="1" a="1"/>
  <c r="N951" i="1"/>
  <c r="M951" i="1"/>
  <c r="O950" i="1"/>
  <c r="O950" i="1" a="1"/>
  <c r="N950" i="1"/>
  <c r="M950" i="1"/>
  <c r="O949" i="1"/>
  <c r="O949" i="1" a="1"/>
  <c r="N949" i="1"/>
  <c r="M949" i="1"/>
  <c r="O948" i="1"/>
  <c r="O948" i="1" a="1"/>
  <c r="N948" i="1"/>
  <c r="M948" i="1"/>
  <c r="O947" i="1"/>
  <c r="O947" i="1" a="1"/>
  <c r="N947" i="1"/>
  <c r="M947" i="1"/>
  <c r="O946" i="1"/>
  <c r="O946" i="1" a="1"/>
  <c r="N946" i="1"/>
  <c r="M946" i="1"/>
  <c r="O945" i="1"/>
  <c r="O945" i="1" a="1"/>
  <c r="N945" i="1"/>
  <c r="M945" i="1"/>
  <c r="O944" i="1"/>
  <c r="O944" i="1" a="1"/>
  <c r="N944" i="1"/>
  <c r="M944" i="1"/>
  <c r="O943" i="1"/>
  <c r="O943" i="1" a="1"/>
  <c r="N943" i="1"/>
  <c r="M943" i="1"/>
  <c r="O942" i="1"/>
  <c r="O942" i="1" a="1"/>
  <c r="N942" i="1"/>
  <c r="M942" i="1"/>
  <c r="O941" i="1"/>
  <c r="O941" i="1" a="1"/>
  <c r="N941" i="1"/>
  <c r="M941" i="1"/>
  <c r="O940" i="1"/>
  <c r="O940" i="1" a="1"/>
  <c r="N940" i="1"/>
  <c r="M940" i="1"/>
  <c r="O939" i="1"/>
  <c r="O939" i="1" a="1"/>
  <c r="N939" i="1"/>
  <c r="M939" i="1"/>
  <c r="O938" i="1"/>
  <c r="O938" i="1" a="1"/>
  <c r="N938" i="1"/>
  <c r="M938" i="1"/>
  <c r="O937" i="1"/>
  <c r="O937" i="1" a="1"/>
  <c r="N937" i="1"/>
  <c r="M937" i="1"/>
  <c r="O936" i="1"/>
  <c r="O936" i="1" a="1"/>
  <c r="N936" i="1"/>
  <c r="M936" i="1"/>
  <c r="O935" i="1"/>
  <c r="O935" i="1" a="1"/>
  <c r="N935" i="1"/>
  <c r="M935" i="1"/>
  <c r="O934" i="1"/>
  <c r="O934" i="1" a="1"/>
  <c r="N934" i="1"/>
  <c r="M934" i="1"/>
  <c r="O933" i="1"/>
  <c r="O933" i="1" a="1"/>
  <c r="N933" i="1"/>
  <c r="M933" i="1"/>
  <c r="O932" i="1"/>
  <c r="O932" i="1" a="1"/>
  <c r="N932" i="1"/>
  <c r="M932" i="1"/>
  <c r="O931" i="1"/>
  <c r="O931" i="1" a="1"/>
  <c r="N931" i="1"/>
  <c r="M931" i="1"/>
  <c r="O930" i="1"/>
  <c r="O930" i="1" a="1"/>
  <c r="N930" i="1"/>
  <c r="M930" i="1"/>
  <c r="O929" i="1"/>
  <c r="O929" i="1" a="1"/>
  <c r="N929" i="1"/>
  <c r="M929" i="1"/>
  <c r="O928" i="1"/>
  <c r="O928" i="1" a="1"/>
  <c r="N928" i="1"/>
  <c r="M928" i="1"/>
  <c r="O927" i="1"/>
  <c r="O927" i="1" a="1"/>
  <c r="N927" i="1"/>
  <c r="M927" i="1"/>
  <c r="O926" i="1"/>
  <c r="O926" i="1" a="1"/>
  <c r="N926" i="1"/>
  <c r="M926" i="1"/>
  <c r="O925" i="1"/>
  <c r="O925" i="1" a="1"/>
  <c r="N925" i="1"/>
  <c r="M925" i="1"/>
  <c r="O924" i="1"/>
  <c r="O924" i="1" a="1"/>
  <c r="N924" i="1"/>
  <c r="M924" i="1"/>
  <c r="O923" i="1"/>
  <c r="O923" i="1" a="1"/>
  <c r="N923" i="1"/>
  <c r="M923" i="1"/>
  <c r="O922" i="1"/>
  <c r="O922" i="1" a="1"/>
  <c r="N922" i="1"/>
  <c r="M922" i="1"/>
  <c r="O921" i="1"/>
  <c r="O921" i="1" a="1"/>
  <c r="N921" i="1"/>
  <c r="M921" i="1"/>
  <c r="O920" i="1"/>
  <c r="O920" i="1" a="1"/>
  <c r="N920" i="1"/>
  <c r="M920" i="1"/>
  <c r="O919" i="1"/>
  <c r="O919" i="1" a="1"/>
  <c r="N919" i="1"/>
  <c r="M919" i="1"/>
  <c r="O918" i="1"/>
  <c r="O918" i="1" a="1"/>
  <c r="N918" i="1"/>
  <c r="M918" i="1"/>
  <c r="O917" i="1"/>
  <c r="O917" i="1" a="1"/>
  <c r="N917" i="1"/>
  <c r="M917" i="1"/>
  <c r="O916" i="1"/>
  <c r="O916" i="1" a="1"/>
  <c r="N916" i="1"/>
  <c r="M916" i="1"/>
  <c r="O915" i="1"/>
  <c r="O915" i="1" a="1"/>
  <c r="N915" i="1"/>
  <c r="M915" i="1"/>
  <c r="O914" i="1"/>
  <c r="O914" i="1" a="1"/>
  <c r="N914" i="1"/>
  <c r="M914" i="1"/>
  <c r="O913" i="1"/>
  <c r="O913" i="1" a="1"/>
  <c r="N913" i="1"/>
  <c r="M913" i="1"/>
  <c r="O912" i="1"/>
  <c r="O912" i="1" a="1"/>
  <c r="N912" i="1"/>
  <c r="M912" i="1"/>
  <c r="O911" i="1"/>
  <c r="O911" i="1" a="1"/>
  <c r="N911" i="1"/>
  <c r="M911" i="1"/>
  <c r="O910" i="1"/>
  <c r="O910" i="1" a="1"/>
  <c r="N910" i="1"/>
  <c r="M910" i="1"/>
  <c r="O909" i="1"/>
  <c r="O909" i="1" a="1"/>
  <c r="N909" i="1"/>
  <c r="M909" i="1"/>
  <c r="O908" i="1"/>
  <c r="O908" i="1" a="1"/>
  <c r="N908" i="1"/>
  <c r="M908" i="1"/>
  <c r="O907" i="1"/>
  <c r="O907" i="1" a="1"/>
  <c r="N907" i="1"/>
  <c r="M907" i="1"/>
  <c r="O906" i="1"/>
  <c r="O906" i="1" a="1"/>
  <c r="N906" i="1"/>
  <c r="M906" i="1"/>
  <c r="O905" i="1"/>
  <c r="O905" i="1" a="1"/>
  <c r="N905" i="1"/>
  <c r="M905" i="1"/>
  <c r="O904" i="1"/>
  <c r="O904" i="1" a="1"/>
  <c r="N904" i="1"/>
  <c r="M904" i="1"/>
  <c r="O903" i="1"/>
  <c r="O903" i="1" a="1"/>
  <c r="N903" i="1"/>
  <c r="M903" i="1"/>
  <c r="O902" i="1"/>
  <c r="O902" i="1" a="1"/>
  <c r="N902" i="1"/>
  <c r="M902" i="1"/>
  <c r="O901" i="1"/>
  <c r="O901" i="1" a="1"/>
  <c r="N901" i="1"/>
  <c r="M901" i="1"/>
  <c r="O900" i="1"/>
  <c r="O900" i="1" a="1"/>
  <c r="N900" i="1"/>
  <c r="M900" i="1"/>
  <c r="O899" i="1"/>
  <c r="O899" i="1" a="1"/>
  <c r="N899" i="1"/>
  <c r="M899" i="1"/>
  <c r="O898" i="1"/>
  <c r="O898" i="1" a="1"/>
  <c r="N898" i="1"/>
  <c r="M898" i="1"/>
  <c r="O897" i="1"/>
  <c r="O897" i="1" a="1"/>
  <c r="N897" i="1"/>
  <c r="M897" i="1"/>
  <c r="O896" i="1"/>
  <c r="O896" i="1" a="1"/>
  <c r="N896" i="1"/>
  <c r="M896" i="1"/>
  <c r="O895" i="1"/>
  <c r="O895" i="1" a="1"/>
  <c r="N895" i="1"/>
  <c r="M895" i="1"/>
  <c r="O894" i="1"/>
  <c r="O894" i="1" a="1"/>
  <c r="N894" i="1"/>
  <c r="M894" i="1"/>
  <c r="O893" i="1"/>
  <c r="O893" i="1" a="1"/>
  <c r="N893" i="1"/>
  <c r="M893" i="1"/>
  <c r="O892" i="1"/>
  <c r="O892" i="1" a="1"/>
  <c r="N892" i="1"/>
  <c r="M892" i="1"/>
  <c r="O891" i="1"/>
  <c r="O891" i="1" a="1"/>
  <c r="N891" i="1"/>
  <c r="M891" i="1"/>
  <c r="O890" i="1"/>
  <c r="O890" i="1" a="1"/>
  <c r="N890" i="1"/>
  <c r="M890" i="1"/>
  <c r="O889" i="1"/>
  <c r="O889" i="1" a="1"/>
  <c r="N889" i="1"/>
  <c r="M889" i="1"/>
  <c r="O888" i="1"/>
  <c r="O888" i="1" a="1"/>
  <c r="N888" i="1"/>
  <c r="M888" i="1"/>
  <c r="O887" i="1"/>
  <c r="O887" i="1" a="1"/>
  <c r="N887" i="1"/>
  <c r="M887" i="1"/>
  <c r="O886" i="1"/>
  <c r="O886" i="1" a="1"/>
  <c r="N886" i="1"/>
  <c r="M886" i="1"/>
  <c r="O885" i="1"/>
  <c r="O885" i="1" a="1"/>
  <c r="N885" i="1"/>
  <c r="M885" i="1"/>
  <c r="O884" i="1"/>
  <c r="O884" i="1" a="1"/>
  <c r="N884" i="1"/>
  <c r="M884" i="1"/>
  <c r="O883" i="1"/>
  <c r="O883" i="1" a="1"/>
  <c r="N883" i="1"/>
  <c r="M883" i="1"/>
  <c r="O882" i="1"/>
  <c r="O882" i="1" a="1"/>
  <c r="N882" i="1"/>
  <c r="M882" i="1"/>
  <c r="O881" i="1"/>
  <c r="O881" i="1" a="1"/>
  <c r="N881" i="1"/>
  <c r="M881" i="1"/>
  <c r="O880" i="1"/>
  <c r="O880" i="1" a="1"/>
  <c r="N880" i="1"/>
  <c r="M880" i="1"/>
  <c r="O879" i="1"/>
  <c r="O879" i="1" a="1"/>
  <c r="N879" i="1"/>
  <c r="M879" i="1"/>
  <c r="O878" i="1"/>
  <c r="O878" i="1" a="1"/>
  <c r="N878" i="1"/>
  <c r="M878" i="1"/>
  <c r="O877" i="1"/>
  <c r="O877" i="1" a="1"/>
  <c r="N877" i="1"/>
  <c r="M877" i="1"/>
  <c r="O876" i="1"/>
  <c r="O876" i="1" a="1"/>
  <c r="N876" i="1"/>
  <c r="M876" i="1"/>
  <c r="O875" i="1"/>
  <c r="O875" i="1" a="1"/>
  <c r="N875" i="1"/>
  <c r="M875" i="1"/>
  <c r="O874" i="1"/>
  <c r="O874" i="1" a="1"/>
  <c r="N874" i="1"/>
  <c r="M874" i="1"/>
  <c r="O873" i="1"/>
  <c r="O873" i="1" a="1"/>
  <c r="N873" i="1"/>
  <c r="M873" i="1"/>
  <c r="O872" i="1"/>
  <c r="O872" i="1" a="1"/>
  <c r="N872" i="1"/>
  <c r="M872" i="1"/>
  <c r="O871" i="1"/>
  <c r="O871" i="1" a="1"/>
  <c r="N871" i="1"/>
  <c r="M871" i="1"/>
  <c r="O870" i="1"/>
  <c r="O870" i="1" a="1"/>
  <c r="N870" i="1"/>
  <c r="M870" i="1"/>
  <c r="O869" i="1"/>
  <c r="O869" i="1" a="1"/>
  <c r="N869" i="1"/>
  <c r="M869" i="1"/>
  <c r="O868" i="1"/>
  <c r="O868" i="1" a="1"/>
  <c r="N868" i="1"/>
  <c r="M868" i="1"/>
  <c r="O867" i="1"/>
  <c r="O867" i="1" a="1"/>
  <c r="N867" i="1"/>
  <c r="M867" i="1"/>
  <c r="O866" i="1"/>
  <c r="O866" i="1" a="1"/>
  <c r="N866" i="1"/>
  <c r="M866" i="1"/>
  <c r="O865" i="1"/>
  <c r="O865" i="1" a="1"/>
  <c r="N865" i="1"/>
  <c r="M865" i="1"/>
  <c r="O864" i="1"/>
  <c r="O864" i="1" a="1"/>
  <c r="N864" i="1"/>
  <c r="M864" i="1"/>
  <c r="O863" i="1"/>
  <c r="O863" i="1" a="1"/>
  <c r="N863" i="1"/>
  <c r="M863" i="1"/>
  <c r="O862" i="1"/>
  <c r="O862" i="1" a="1"/>
  <c r="N862" i="1"/>
  <c r="M862" i="1"/>
  <c r="O861" i="1"/>
  <c r="O861" i="1" a="1"/>
  <c r="N861" i="1"/>
  <c r="M861" i="1"/>
  <c r="O860" i="1"/>
  <c r="O860" i="1" a="1"/>
  <c r="N860" i="1"/>
  <c r="M860" i="1"/>
  <c r="O859" i="1"/>
  <c r="O859" i="1" a="1"/>
  <c r="N859" i="1"/>
  <c r="M859" i="1"/>
  <c r="O858" i="1"/>
  <c r="O858" i="1" a="1"/>
  <c r="N858" i="1"/>
  <c r="M858" i="1"/>
  <c r="O857" i="1"/>
  <c r="O857" i="1" a="1"/>
  <c r="N857" i="1"/>
  <c r="M857" i="1"/>
  <c r="O856" i="1"/>
  <c r="O856" i="1" a="1"/>
  <c r="N856" i="1"/>
  <c r="M856" i="1"/>
  <c r="O855" i="1"/>
  <c r="O855" i="1" a="1"/>
  <c r="N855" i="1"/>
  <c r="M855" i="1"/>
  <c r="O854" i="1"/>
  <c r="O854" i="1" a="1"/>
  <c r="N854" i="1"/>
  <c r="M854" i="1"/>
  <c r="O853" i="1"/>
  <c r="O853" i="1" a="1"/>
  <c r="N853" i="1"/>
  <c r="M853" i="1"/>
  <c r="O852" i="1"/>
  <c r="O852" i="1" a="1"/>
  <c r="N852" i="1"/>
  <c r="M852" i="1"/>
  <c r="O851" i="1"/>
  <c r="O851" i="1" a="1"/>
  <c r="N851" i="1"/>
  <c r="M851" i="1"/>
  <c r="O850" i="1"/>
  <c r="O850" i="1" a="1"/>
  <c r="N850" i="1"/>
  <c r="M850" i="1"/>
  <c r="O849" i="1"/>
  <c r="O849" i="1" a="1"/>
  <c r="N849" i="1"/>
  <c r="M849" i="1"/>
  <c r="O848" i="1"/>
  <c r="O848" i="1" a="1"/>
  <c r="N848" i="1"/>
  <c r="M848" i="1"/>
  <c r="O847" i="1"/>
  <c r="O847" i="1" a="1"/>
  <c r="N847" i="1"/>
  <c r="M847" i="1"/>
  <c r="O846" i="1"/>
  <c r="O846" i="1" a="1"/>
  <c r="N846" i="1"/>
  <c r="M846" i="1"/>
  <c r="O845" i="1"/>
  <c r="O845" i="1" a="1"/>
  <c r="N845" i="1"/>
  <c r="M845" i="1"/>
  <c r="O844" i="1"/>
  <c r="O844" i="1" a="1"/>
  <c r="N844" i="1"/>
  <c r="M844" i="1"/>
  <c r="O843" i="1"/>
  <c r="O843" i="1" a="1"/>
  <c r="N843" i="1"/>
  <c r="M843" i="1"/>
  <c r="O842" i="1"/>
  <c r="O842" i="1" a="1"/>
  <c r="N842" i="1"/>
  <c r="M842" i="1"/>
  <c r="O841" i="1"/>
  <c r="O841" i="1" a="1"/>
  <c r="N841" i="1"/>
  <c r="M841" i="1"/>
  <c r="O840" i="1"/>
  <c r="O840" i="1" a="1"/>
  <c r="N840" i="1"/>
  <c r="M840" i="1"/>
  <c r="O839" i="1"/>
  <c r="O839" i="1" a="1"/>
  <c r="N839" i="1"/>
  <c r="M839" i="1"/>
  <c r="O838" i="1"/>
  <c r="O838" i="1" a="1"/>
  <c r="N838" i="1"/>
  <c r="M838" i="1"/>
  <c r="O837" i="1"/>
  <c r="O837" i="1" a="1"/>
  <c r="N837" i="1"/>
  <c r="M837" i="1"/>
  <c r="O836" i="1"/>
  <c r="O836" i="1" a="1"/>
  <c r="N836" i="1"/>
  <c r="M836" i="1"/>
  <c r="O835" i="1"/>
  <c r="O835" i="1" a="1"/>
  <c r="N835" i="1"/>
  <c r="M835" i="1"/>
  <c r="O834" i="1"/>
  <c r="O834" i="1" a="1"/>
  <c r="N834" i="1"/>
  <c r="M834" i="1"/>
  <c r="O833" i="1"/>
  <c r="O833" i="1" a="1"/>
  <c r="N833" i="1"/>
  <c r="M833" i="1"/>
  <c r="O832" i="1"/>
  <c r="O832" i="1" a="1"/>
  <c r="N832" i="1"/>
  <c r="M832" i="1"/>
  <c r="O831" i="1"/>
  <c r="O831" i="1" a="1"/>
  <c r="N831" i="1"/>
  <c r="M831" i="1"/>
  <c r="O830" i="1"/>
  <c r="O830" i="1" a="1"/>
  <c r="N830" i="1"/>
  <c r="M830" i="1"/>
  <c r="O829" i="1"/>
  <c r="O829" i="1" a="1"/>
  <c r="N829" i="1"/>
  <c r="M829" i="1"/>
  <c r="O828" i="1"/>
  <c r="O828" i="1" a="1"/>
  <c r="N828" i="1"/>
  <c r="M828" i="1"/>
  <c r="O827" i="1"/>
  <c r="O827" i="1" a="1"/>
  <c r="N827" i="1"/>
  <c r="M827" i="1"/>
  <c r="O826" i="1"/>
  <c r="O826" i="1" a="1"/>
  <c r="N826" i="1"/>
  <c r="M826" i="1"/>
  <c r="O825" i="1"/>
  <c r="O825" i="1" a="1"/>
  <c r="N825" i="1"/>
  <c r="M825" i="1"/>
  <c r="O824" i="1"/>
  <c r="O824" i="1" a="1"/>
  <c r="N824" i="1"/>
  <c r="M824" i="1"/>
  <c r="O823" i="1"/>
  <c r="O823" i="1" a="1"/>
  <c r="N823" i="1"/>
  <c r="M823" i="1"/>
  <c r="O822" i="1"/>
  <c r="O822" i="1" a="1"/>
  <c r="N822" i="1"/>
  <c r="M822" i="1"/>
  <c r="O821" i="1"/>
  <c r="O821" i="1" a="1"/>
  <c r="N821" i="1"/>
  <c r="M821" i="1"/>
  <c r="O820" i="1"/>
  <c r="O820" i="1" a="1"/>
  <c r="N820" i="1"/>
  <c r="M820" i="1"/>
  <c r="O819" i="1"/>
  <c r="O819" i="1" a="1"/>
  <c r="N819" i="1"/>
  <c r="M819" i="1"/>
  <c r="O818" i="1"/>
  <c r="O818" i="1" a="1"/>
  <c r="N818" i="1"/>
  <c r="M818" i="1"/>
  <c r="O817" i="1"/>
  <c r="O817" i="1" a="1"/>
  <c r="N817" i="1"/>
  <c r="M817" i="1"/>
  <c r="O816" i="1"/>
  <c r="O816" i="1" a="1"/>
  <c r="N816" i="1"/>
  <c r="M816" i="1"/>
  <c r="O815" i="1"/>
  <c r="O815" i="1" a="1"/>
  <c r="N815" i="1"/>
  <c r="M815" i="1"/>
  <c r="O814" i="1"/>
  <c r="O814" i="1" a="1"/>
  <c r="N814" i="1"/>
  <c r="M814" i="1"/>
  <c r="O813" i="1"/>
  <c r="O813" i="1" a="1"/>
  <c r="N813" i="1"/>
  <c r="M813" i="1"/>
  <c r="O812" i="1"/>
  <c r="O812" i="1" a="1"/>
  <c r="N812" i="1"/>
  <c r="M812" i="1"/>
  <c r="O811" i="1"/>
  <c r="O811" i="1" a="1"/>
  <c r="N811" i="1"/>
  <c r="M811" i="1"/>
  <c r="O810" i="1"/>
  <c r="O810" i="1" a="1"/>
  <c r="N810" i="1"/>
  <c r="M810" i="1"/>
  <c r="O809" i="1"/>
  <c r="O809" i="1" a="1"/>
  <c r="N809" i="1"/>
  <c r="M809" i="1"/>
  <c r="O808" i="1"/>
  <c r="O808" i="1" a="1"/>
  <c r="N808" i="1"/>
  <c r="M808" i="1"/>
  <c r="O807" i="1"/>
  <c r="O807" i="1" a="1"/>
  <c r="N807" i="1"/>
  <c r="M807" i="1"/>
  <c r="O806" i="1"/>
  <c r="O806" i="1" a="1"/>
  <c r="N806" i="1"/>
  <c r="M806" i="1"/>
  <c r="O805" i="1"/>
  <c r="O805" i="1" a="1"/>
  <c r="N805" i="1"/>
  <c r="M805" i="1"/>
  <c r="O804" i="1"/>
  <c r="O804" i="1" a="1"/>
  <c r="N804" i="1"/>
  <c r="M804" i="1"/>
  <c r="O803" i="1"/>
  <c r="O803" i="1" a="1"/>
  <c r="N803" i="1"/>
  <c r="M803" i="1"/>
  <c r="O802" i="1"/>
  <c r="O802" i="1" a="1"/>
  <c r="N802" i="1"/>
  <c r="M802" i="1"/>
  <c r="O801" i="1"/>
  <c r="O801" i="1" a="1"/>
  <c r="N801" i="1"/>
  <c r="M801" i="1"/>
  <c r="O800" i="1"/>
  <c r="O800" i="1" a="1"/>
  <c r="N800" i="1"/>
  <c r="M800" i="1"/>
  <c r="O799" i="1"/>
  <c r="O799" i="1" a="1"/>
  <c r="N799" i="1"/>
  <c r="M799" i="1"/>
  <c r="O798" i="1"/>
  <c r="O798" i="1" a="1"/>
  <c r="N798" i="1"/>
  <c r="M798" i="1"/>
  <c r="O797" i="1"/>
  <c r="O797" i="1" a="1"/>
  <c r="N797" i="1"/>
  <c r="M797" i="1"/>
  <c r="O796" i="1"/>
  <c r="O796" i="1" a="1"/>
  <c r="N796" i="1"/>
  <c r="M796" i="1"/>
  <c r="O795" i="1"/>
  <c r="O795" i="1" a="1"/>
  <c r="N795" i="1"/>
  <c r="M795" i="1"/>
  <c r="O794" i="1"/>
  <c r="O794" i="1" a="1"/>
  <c r="N794" i="1"/>
  <c r="M794" i="1"/>
  <c r="O793" i="1"/>
  <c r="O793" i="1" a="1"/>
  <c r="N793" i="1"/>
  <c r="M793" i="1"/>
  <c r="O792" i="1"/>
  <c r="O792" i="1" a="1"/>
  <c r="N792" i="1"/>
  <c r="M792" i="1"/>
  <c r="O791" i="1"/>
  <c r="O791" i="1" a="1"/>
  <c r="N791" i="1"/>
  <c r="M791" i="1"/>
  <c r="O790" i="1"/>
  <c r="O790" i="1" a="1"/>
  <c r="N790" i="1"/>
  <c r="M790" i="1"/>
  <c r="O789" i="1"/>
  <c r="O789" i="1" a="1"/>
  <c r="N789" i="1"/>
  <c r="M789" i="1"/>
  <c r="O788" i="1"/>
  <c r="O788" i="1" a="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c r="O775" i="1" a="1"/>
  <c r="N775" i="1"/>
  <c r="M775" i="1"/>
  <c r="O774" i="1"/>
  <c r="O774" i="1" a="1"/>
  <c r="N774" i="1"/>
  <c r="M774" i="1"/>
  <c r="O773" i="1"/>
  <c r="O773" i="1" a="1"/>
  <c r="N773" i="1"/>
  <c r="M773" i="1"/>
  <c r="O772" i="1"/>
  <c r="O772" i="1" a="1"/>
  <c r="N772" i="1"/>
  <c r="M772" i="1"/>
  <c r="O771" i="1"/>
  <c r="O771" i="1" a="1"/>
  <c r="N771" i="1"/>
  <c r="M771" i="1"/>
  <c r="O770" i="1"/>
  <c r="O770" i="1" a="1"/>
  <c r="N770" i="1"/>
  <c r="M770" i="1"/>
  <c r="O769" i="1"/>
  <c r="O769" i="1" a="1"/>
  <c r="N769" i="1"/>
  <c r="M769" i="1"/>
  <c r="O768" i="1"/>
  <c r="O768" i="1" a="1"/>
  <c r="N768" i="1"/>
  <c r="M768" i="1"/>
  <c r="O767" i="1"/>
  <c r="O767" i="1" a="1"/>
  <c r="N767" i="1"/>
  <c r="M767" i="1"/>
  <c r="O766" i="1"/>
  <c r="O766" i="1" a="1"/>
  <c r="N766" i="1"/>
  <c r="M766" i="1"/>
  <c r="O765" i="1"/>
  <c r="O765" i="1" a="1"/>
  <c r="N765" i="1"/>
  <c r="M765" i="1"/>
  <c r="O764" i="1"/>
  <c r="O764" i="1" a="1"/>
  <c r="N764" i="1"/>
  <c r="M764" i="1"/>
  <c r="O763" i="1"/>
  <c r="O763" i="1" a="1"/>
  <c r="N763" i="1"/>
  <c r="M763" i="1"/>
  <c r="O762" i="1"/>
  <c r="O762" i="1" a="1"/>
  <c r="N762" i="1"/>
  <c r="M762" i="1"/>
  <c r="O761" i="1"/>
  <c r="O761" i="1" a="1"/>
  <c r="N761" i="1"/>
  <c r="M761" i="1"/>
  <c r="O760" i="1"/>
  <c r="O760" i="1" a="1"/>
  <c r="N760" i="1"/>
  <c r="M760" i="1"/>
  <c r="O759" i="1"/>
  <c r="O759" i="1" a="1"/>
  <c r="N759" i="1"/>
  <c r="M759" i="1"/>
  <c r="O758" i="1"/>
  <c r="O758" i="1" a="1"/>
  <c r="N758" i="1"/>
  <c r="M758" i="1"/>
  <c r="O757" i="1"/>
  <c r="O757" i="1" a="1"/>
  <c r="N757" i="1"/>
  <c r="M757" i="1"/>
  <c r="O756" i="1"/>
  <c r="O756" i="1" a="1"/>
  <c r="N756" i="1"/>
  <c r="M756" i="1"/>
  <c r="O755" i="1"/>
  <c r="O755" i="1" a="1"/>
  <c r="N755" i="1"/>
  <c r="M755" i="1"/>
  <c r="O754" i="1"/>
  <c r="O754" i="1" a="1"/>
  <c r="N754" i="1"/>
  <c r="M754" i="1"/>
  <c r="O753" i="1"/>
  <c r="O753" i="1" a="1"/>
  <c r="N753" i="1"/>
  <c r="M753" i="1"/>
  <c r="O752" i="1"/>
  <c r="O752" i="1" a="1"/>
  <c r="N752" i="1"/>
  <c r="M752" i="1"/>
  <c r="O751" i="1"/>
  <c r="O751" i="1" a="1"/>
  <c r="N751" i="1"/>
  <c r="M751" i="1"/>
  <c r="O750" i="1"/>
  <c r="O750" i="1" a="1"/>
  <c r="N750" i="1"/>
  <c r="M750" i="1"/>
  <c r="O749" i="1"/>
  <c r="O749" i="1" a="1"/>
  <c r="N749" i="1"/>
  <c r="M749" i="1"/>
  <c r="O748" i="1"/>
  <c r="O748" i="1" a="1"/>
  <c r="N748" i="1"/>
  <c r="M748" i="1"/>
  <c r="O747" i="1"/>
  <c r="O747" i="1" a="1"/>
  <c r="N747" i="1"/>
  <c r="M747" i="1"/>
  <c r="O746" i="1"/>
  <c r="O746" i="1" a="1"/>
  <c r="N746" i="1"/>
  <c r="M746" i="1"/>
  <c r="O745" i="1"/>
  <c r="O745" i="1" a="1"/>
  <c r="N745" i="1"/>
  <c r="M745" i="1"/>
  <c r="O744" i="1"/>
  <c r="O744" i="1" a="1"/>
  <c r="N744" i="1"/>
  <c r="M744" i="1"/>
  <c r="O743" i="1"/>
  <c r="O743" i="1" a="1"/>
  <c r="N743" i="1"/>
  <c r="M743" i="1"/>
  <c r="O742" i="1"/>
  <c r="O742" i="1" a="1"/>
  <c r="N742" i="1"/>
  <c r="M742" i="1"/>
  <c r="O741" i="1"/>
  <c r="O741" i="1" a="1"/>
  <c r="N741" i="1"/>
  <c r="M741" i="1"/>
  <c r="O740" i="1"/>
  <c r="O740" i="1" a="1"/>
  <c r="N740" i="1"/>
  <c r="M740" i="1"/>
  <c r="O739" i="1"/>
  <c r="O739" i="1" a="1"/>
  <c r="N739" i="1"/>
  <c r="M739" i="1"/>
  <c r="O738" i="1"/>
  <c r="O738" i="1" a="1"/>
  <c r="N738" i="1"/>
  <c r="M738" i="1"/>
  <c r="O737" i="1"/>
  <c r="O737" i="1" a="1"/>
  <c r="N737" i="1"/>
  <c r="M737" i="1"/>
  <c r="O736" i="1"/>
  <c r="O736" i="1" a="1"/>
  <c r="N736" i="1"/>
  <c r="M736" i="1"/>
  <c r="O735" i="1"/>
  <c r="O735" i="1" a="1"/>
  <c r="N735" i="1"/>
  <c r="M735" i="1"/>
  <c r="O734" i="1"/>
  <c r="O734" i="1" a="1"/>
  <c r="N734" i="1"/>
  <c r="M734" i="1"/>
  <c r="O733" i="1"/>
  <c r="O733" i="1" a="1"/>
  <c r="N733" i="1"/>
  <c r="M733" i="1"/>
  <c r="O732" i="1"/>
  <c r="O732" i="1" a="1"/>
  <c r="N732" i="1"/>
  <c r="M732" i="1"/>
  <c r="O731" i="1"/>
  <c r="O731" i="1" a="1"/>
  <c r="N731" i="1"/>
  <c r="M731" i="1"/>
  <c r="O730" i="1"/>
  <c r="O730" i="1" a="1"/>
  <c r="N730" i="1"/>
  <c r="M730" i="1"/>
  <c r="O729" i="1"/>
  <c r="O729" i="1" a="1"/>
  <c r="N729" i="1"/>
  <c r="M729" i="1"/>
  <c r="O728" i="1"/>
  <c r="O728" i="1" a="1"/>
  <c r="N728" i="1"/>
  <c r="M728" i="1"/>
  <c r="O727" i="1"/>
  <c r="O727" i="1" a="1"/>
  <c r="N727" i="1"/>
  <c r="M727" i="1"/>
  <c r="O726" i="1"/>
  <c r="O726" i="1" a="1"/>
  <c r="N726" i="1"/>
  <c r="M726" i="1"/>
  <c r="O725" i="1"/>
  <c r="O725" i="1" a="1"/>
  <c r="N725" i="1"/>
  <c r="M725" i="1"/>
  <c r="O724" i="1"/>
  <c r="O724" i="1" a="1"/>
  <c r="N724" i="1"/>
  <c r="M724" i="1"/>
  <c r="O723" i="1"/>
  <c r="O723" i="1" a="1"/>
  <c r="N723" i="1"/>
  <c r="M723" i="1"/>
  <c r="O722" i="1"/>
  <c r="O722" i="1" a="1"/>
  <c r="N722" i="1"/>
  <c r="M722" i="1"/>
  <c r="O721" i="1"/>
  <c r="O721" i="1" a="1"/>
  <c r="N721" i="1"/>
  <c r="M721" i="1"/>
  <c r="O720" i="1"/>
  <c r="O720" i="1" a="1"/>
  <c r="N720" i="1"/>
  <c r="M720" i="1"/>
  <c r="O719" i="1"/>
  <c r="O719" i="1" a="1"/>
  <c r="N719" i="1"/>
  <c r="M719" i="1"/>
  <c r="O718" i="1"/>
  <c r="O718" i="1" a="1"/>
  <c r="N718" i="1"/>
  <c r="M718" i="1"/>
  <c r="O717" i="1"/>
  <c r="O717" i="1" a="1"/>
  <c r="N717" i="1"/>
  <c r="M717" i="1"/>
  <c r="O716" i="1"/>
  <c r="O716" i="1" a="1"/>
  <c r="N716" i="1"/>
  <c r="M716" i="1"/>
  <c r="O715" i="1"/>
  <c r="O715" i="1" a="1"/>
  <c r="N715" i="1"/>
  <c r="M715" i="1"/>
  <c r="O714" i="1"/>
  <c r="O714" i="1" a="1"/>
  <c r="N714" i="1"/>
  <c r="M714" i="1"/>
  <c r="O713" i="1"/>
  <c r="O713" i="1" a="1"/>
  <c r="N713" i="1"/>
  <c r="M713" i="1"/>
  <c r="O712" i="1"/>
  <c r="O712" i="1" a="1"/>
  <c r="N712" i="1"/>
  <c r="M712" i="1"/>
  <c r="O711" i="1"/>
  <c r="O711" i="1" a="1"/>
  <c r="N711" i="1"/>
  <c r="M711" i="1"/>
  <c r="O710" i="1"/>
  <c r="O710" i="1" a="1"/>
  <c r="N710" i="1"/>
  <c r="M710" i="1"/>
  <c r="O709" i="1"/>
  <c r="O709" i="1" a="1"/>
  <c r="N709" i="1"/>
  <c r="M709" i="1"/>
  <c r="O708" i="1"/>
  <c r="O708" i="1" a="1"/>
  <c r="N708" i="1"/>
  <c r="M708" i="1"/>
  <c r="O707" i="1"/>
  <c r="O707" i="1" a="1"/>
  <c r="N707" i="1"/>
  <c r="M707" i="1"/>
  <c r="O706" i="1"/>
  <c r="O706" i="1" a="1"/>
  <c r="N706" i="1"/>
  <c r="M706" i="1"/>
  <c r="O705" i="1"/>
  <c r="O705" i="1" a="1"/>
  <c r="N705" i="1"/>
  <c r="M705" i="1"/>
  <c r="O704" i="1"/>
  <c r="O704" i="1" a="1"/>
  <c r="N704" i="1"/>
  <c r="M704" i="1"/>
  <c r="O703" i="1"/>
  <c r="O703" i="1" a="1"/>
  <c r="N703" i="1"/>
  <c r="M703" i="1"/>
  <c r="O702" i="1"/>
  <c r="O702" i="1" a="1"/>
  <c r="N702" i="1"/>
  <c r="M702" i="1"/>
  <c r="O701" i="1"/>
  <c r="O701" i="1" a="1"/>
  <c r="N701" i="1"/>
  <c r="M701" i="1"/>
  <c r="O700" i="1"/>
  <c r="O700" i="1" a="1"/>
  <c r="N700" i="1"/>
  <c r="M700" i="1"/>
  <c r="O699" i="1"/>
  <c r="O699" i="1" a="1"/>
  <c r="N699" i="1"/>
  <c r="M699" i="1"/>
  <c r="O698" i="1"/>
  <c r="O698" i="1" a="1"/>
  <c r="N698" i="1"/>
  <c r="M698" i="1"/>
  <c r="O697" i="1"/>
  <c r="O697" i="1" a="1"/>
  <c r="N697" i="1"/>
  <c r="M697" i="1"/>
  <c r="O696" i="1"/>
  <c r="O696" i="1" a="1"/>
  <c r="N696" i="1"/>
  <c r="M696" i="1"/>
  <c r="O695" i="1"/>
  <c r="O695" i="1" a="1"/>
  <c r="N695" i="1"/>
  <c r="M695" i="1"/>
  <c r="O694" i="1"/>
  <c r="O694" i="1" a="1"/>
  <c r="N694" i="1"/>
  <c r="M694" i="1"/>
  <c r="O693" i="1"/>
  <c r="O693" i="1" a="1"/>
  <c r="N693" i="1"/>
  <c r="M693" i="1"/>
  <c r="O692" i="1"/>
  <c r="O692" i="1" a="1"/>
  <c r="N692" i="1"/>
  <c r="M692" i="1"/>
  <c r="O691" i="1"/>
  <c r="O691" i="1" a="1"/>
  <c r="N691" i="1"/>
  <c r="M691" i="1"/>
  <c r="O690" i="1"/>
  <c r="O690" i="1" a="1"/>
  <c r="N690" i="1"/>
  <c r="M690" i="1"/>
  <c r="O689" i="1"/>
  <c r="O689" i="1" a="1"/>
  <c r="N689" i="1"/>
  <c r="M689" i="1"/>
  <c r="O688" i="1"/>
  <c r="O688" i="1" a="1"/>
  <c r="N688" i="1"/>
  <c r="M688" i="1"/>
  <c r="O687" i="1"/>
  <c r="O687" i="1" a="1"/>
  <c r="N687" i="1"/>
  <c r="M687" i="1"/>
  <c r="O686" i="1"/>
  <c r="O686" i="1" a="1"/>
  <c r="N686" i="1"/>
  <c r="M686" i="1"/>
  <c r="O685" i="1"/>
  <c r="O685" i="1" a="1"/>
  <c r="N685" i="1"/>
  <c r="M685" i="1"/>
  <c r="O684" i="1"/>
  <c r="O684" i="1" a="1"/>
  <c r="N684" i="1"/>
  <c r="M684" i="1"/>
  <c r="O683" i="1"/>
  <c r="O683" i="1" a="1"/>
  <c r="N683" i="1"/>
  <c r="M683" i="1"/>
  <c r="O682" i="1"/>
  <c r="O682" i="1" a="1"/>
  <c r="N682" i="1"/>
  <c r="M682" i="1"/>
  <c r="O681" i="1"/>
  <c r="O681" i="1" a="1"/>
  <c r="N681" i="1"/>
  <c r="M681" i="1"/>
  <c r="O680" i="1"/>
  <c r="O680" i="1" a="1"/>
  <c r="N680" i="1"/>
  <c r="M680" i="1"/>
  <c r="O679" i="1"/>
  <c r="O679" i="1" a="1"/>
  <c r="N679" i="1"/>
  <c r="M679" i="1"/>
  <c r="O678" i="1"/>
  <c r="O678" i="1" a="1"/>
  <c r="N678" i="1"/>
  <c r="M678" i="1"/>
  <c r="O677" i="1"/>
  <c r="O677" i="1" a="1"/>
  <c r="N677" i="1"/>
  <c r="M677" i="1"/>
  <c r="O676" i="1"/>
  <c r="O676" i="1" a="1"/>
  <c r="N676" i="1"/>
  <c r="M676" i="1"/>
  <c r="O675" i="1"/>
  <c r="O675" i="1" a="1"/>
  <c r="N675" i="1"/>
  <c r="M675" i="1"/>
  <c r="O674" i="1"/>
  <c r="O674" i="1" a="1"/>
  <c r="N674" i="1"/>
  <c r="M674" i="1"/>
  <c r="O673" i="1"/>
  <c r="O673" i="1" a="1"/>
  <c r="N673" i="1"/>
  <c r="M673" i="1"/>
  <c r="O672" i="1"/>
  <c r="O672" i="1" a="1"/>
  <c r="N672" i="1"/>
  <c r="M672" i="1"/>
  <c r="O671" i="1"/>
  <c r="O671" i="1" a="1"/>
  <c r="N671" i="1"/>
  <c r="M671" i="1"/>
  <c r="O670" i="1"/>
  <c r="O670" i="1" a="1"/>
  <c r="N670" i="1"/>
  <c r="M670" i="1"/>
  <c r="O669" i="1"/>
  <c r="O669" i="1" a="1"/>
  <c r="N669" i="1"/>
  <c r="M669" i="1"/>
  <c r="O668" i="1"/>
  <c r="O668" i="1" a="1"/>
  <c r="N668" i="1"/>
  <c r="M668" i="1"/>
  <c r="O667" i="1"/>
  <c r="O667" i="1" a="1"/>
  <c r="N667" i="1"/>
  <c r="M667" i="1"/>
  <c r="O666" i="1"/>
  <c r="O666" i="1" a="1"/>
  <c r="N666" i="1"/>
  <c r="M666" i="1"/>
  <c r="O665" i="1"/>
  <c r="O665" i="1" a="1"/>
  <c r="N665" i="1"/>
  <c r="M665" i="1"/>
  <c r="O664" i="1"/>
  <c r="O664" i="1" a="1"/>
  <c r="N664" i="1"/>
  <c r="M664" i="1"/>
  <c r="O663" i="1"/>
  <c r="O663" i="1" a="1"/>
  <c r="N663" i="1"/>
  <c r="M663" i="1"/>
  <c r="O662" i="1"/>
  <c r="O662" i="1" a="1"/>
  <c r="N662" i="1"/>
  <c r="M662" i="1"/>
  <c r="O661" i="1"/>
  <c r="O661" i="1" a="1"/>
  <c r="N661" i="1"/>
  <c r="M661" i="1"/>
  <c r="O660" i="1"/>
  <c r="O660" i="1" a="1"/>
  <c r="N660" i="1"/>
  <c r="M660" i="1"/>
  <c r="O659" i="1"/>
  <c r="O659" i="1" a="1"/>
  <c r="N659" i="1"/>
  <c r="M659" i="1"/>
  <c r="O658" i="1"/>
  <c r="O658" i="1" a="1"/>
  <c r="N658" i="1"/>
  <c r="M658" i="1"/>
  <c r="O657" i="1"/>
  <c r="O657" i="1" a="1"/>
  <c r="N657" i="1"/>
  <c r="M657" i="1"/>
  <c r="O656" i="1"/>
  <c r="O656" i="1" a="1"/>
  <c r="N656" i="1"/>
  <c r="M656" i="1"/>
  <c r="O655" i="1"/>
  <c r="O655" i="1" a="1"/>
  <c r="N655" i="1"/>
  <c r="M655" i="1"/>
  <c r="O654" i="1"/>
  <c r="O654" i="1" a="1"/>
  <c r="N654" i="1"/>
  <c r="M654" i="1"/>
  <c r="O653" i="1"/>
  <c r="O653" i="1" a="1"/>
  <c r="N653" i="1"/>
  <c r="M653" i="1"/>
  <c r="O652" i="1"/>
  <c r="O652" i="1" a="1"/>
  <c r="N652" i="1"/>
  <c r="M652" i="1"/>
  <c r="O651" i="1"/>
  <c r="O651" i="1" a="1"/>
  <c r="N651" i="1"/>
  <c r="M651" i="1"/>
  <c r="O650" i="1"/>
  <c r="O650" i="1" a="1"/>
  <c r="N650" i="1"/>
  <c r="M650" i="1"/>
  <c r="O649" i="1"/>
  <c r="O649" i="1" a="1"/>
  <c r="N649" i="1"/>
  <c r="M649" i="1"/>
  <c r="O648" i="1"/>
  <c r="O648" i="1" a="1"/>
  <c r="N648" i="1"/>
  <c r="M648" i="1"/>
  <c r="O647" i="1"/>
  <c r="O647" i="1" a="1"/>
  <c r="N647" i="1"/>
  <c r="M647" i="1"/>
  <c r="O646" i="1"/>
  <c r="O646" i="1" a="1"/>
  <c r="N646" i="1"/>
  <c r="M646" i="1"/>
  <c r="O645" i="1"/>
  <c r="O645" i="1" a="1"/>
  <c r="N645" i="1"/>
  <c r="M645" i="1"/>
  <c r="O644" i="1"/>
  <c r="O644" i="1" a="1"/>
  <c r="N644" i="1"/>
  <c r="M644" i="1"/>
  <c r="O643" i="1"/>
  <c r="O643" i="1" a="1"/>
  <c r="N643" i="1"/>
  <c r="M643" i="1"/>
  <c r="O642" i="1"/>
  <c r="O642" i="1" a="1"/>
  <c r="N642" i="1"/>
  <c r="M642" i="1"/>
  <c r="O641" i="1"/>
  <c r="O641" i="1" a="1"/>
  <c r="N641" i="1"/>
  <c r="M641" i="1"/>
  <c r="O640" i="1"/>
  <c r="O640" i="1" a="1"/>
  <c r="N640" i="1"/>
  <c r="M640" i="1"/>
  <c r="O639" i="1"/>
  <c r="O639" i="1" a="1"/>
  <c r="N639" i="1"/>
  <c r="M639" i="1"/>
  <c r="O638" i="1"/>
  <c r="O638" i="1" a="1"/>
  <c r="N638" i="1"/>
  <c r="M638" i="1"/>
  <c r="O637" i="1"/>
  <c r="O637" i="1" a="1"/>
  <c r="N637" i="1"/>
  <c r="M637" i="1"/>
  <c r="O636" i="1"/>
  <c r="O636" i="1" a="1"/>
  <c r="N636" i="1"/>
  <c r="M636" i="1"/>
  <c r="O635" i="1"/>
  <c r="O635" i="1" a="1"/>
  <c r="N635" i="1"/>
  <c r="M635" i="1"/>
  <c r="O634" i="1"/>
  <c r="O634" i="1" a="1"/>
  <c r="N634" i="1"/>
  <c r="M634" i="1"/>
  <c r="O633" i="1"/>
  <c r="O633" i="1" a="1"/>
  <c r="N633" i="1"/>
  <c r="M633" i="1"/>
  <c r="O632" i="1"/>
  <c r="O632" i="1" a="1"/>
  <c r="N632" i="1"/>
  <c r="M632" i="1"/>
  <c r="O631" i="1"/>
  <c r="O631" i="1" a="1"/>
  <c r="N631" i="1"/>
  <c r="M631" i="1"/>
  <c r="O630" i="1"/>
  <c r="O630" i="1" a="1"/>
  <c r="N630" i="1"/>
  <c r="M630" i="1"/>
  <c r="O629" i="1"/>
  <c r="O629" i="1" a="1"/>
  <c r="N629" i="1"/>
  <c r="M629" i="1"/>
  <c r="O628" i="1"/>
  <c r="O628" i="1" a="1"/>
  <c r="N628" i="1"/>
  <c r="M628" i="1"/>
  <c r="O627" i="1"/>
  <c r="O627" i="1" a="1"/>
  <c r="N627" i="1"/>
  <c r="M627" i="1"/>
  <c r="O626" i="1"/>
  <c r="O626" i="1" a="1"/>
  <c r="N626" i="1"/>
  <c r="M626" i="1"/>
  <c r="O625" i="1"/>
  <c r="O625" i="1" a="1"/>
  <c r="N625" i="1"/>
  <c r="M625" i="1"/>
  <c r="O624" i="1"/>
  <c r="O624" i="1" a="1"/>
  <c r="N624" i="1"/>
  <c r="M624" i="1"/>
  <c r="O623" i="1"/>
  <c r="O623" i="1" a="1"/>
  <c r="N623" i="1"/>
  <c r="M623" i="1"/>
  <c r="O622" i="1"/>
  <c r="O622" i="1" a="1"/>
  <c r="N622" i="1"/>
  <c r="M622" i="1"/>
  <c r="O621" i="1"/>
  <c r="O621" i="1" a="1"/>
  <c r="N621" i="1"/>
  <c r="M621" i="1"/>
  <c r="O620" i="1"/>
  <c r="O620" i="1" a="1"/>
  <c r="N620" i="1"/>
  <c r="M620" i="1"/>
  <c r="O619" i="1"/>
  <c r="O619" i="1" a="1"/>
  <c r="N619" i="1"/>
  <c r="M619" i="1"/>
  <c r="O618" i="1"/>
  <c r="O618" i="1" a="1"/>
  <c r="N618" i="1"/>
  <c r="M618" i="1"/>
  <c r="O617" i="1"/>
  <c r="O617" i="1" a="1"/>
  <c r="N617" i="1"/>
  <c r="M617" i="1"/>
  <c r="O616" i="1"/>
  <c r="O616" i="1" a="1"/>
  <c r="N616" i="1"/>
  <c r="M616" i="1"/>
  <c r="O615" i="1"/>
  <c r="O615" i="1" a="1"/>
  <c r="N615" i="1"/>
  <c r="M615" i="1"/>
  <c r="O614" i="1"/>
  <c r="O614" i="1" a="1"/>
  <c r="N614" i="1"/>
  <c r="M614" i="1"/>
  <c r="O613" i="1"/>
  <c r="O613" i="1" a="1"/>
  <c r="N613" i="1"/>
  <c r="M613" i="1"/>
  <c r="O612" i="1"/>
  <c r="O612" i="1" a="1"/>
  <c r="N612" i="1"/>
  <c r="M612" i="1"/>
  <c r="O611" i="1"/>
  <c r="O611" i="1" a="1"/>
  <c r="N611" i="1"/>
  <c r="M611" i="1"/>
  <c r="O610" i="1"/>
  <c r="O610" i="1" a="1"/>
  <c r="N610" i="1"/>
  <c r="M610" i="1"/>
  <c r="O609" i="1"/>
  <c r="O609" i="1" a="1"/>
  <c r="N609" i="1"/>
  <c r="M609" i="1"/>
  <c r="O608" i="1"/>
  <c r="O608" i="1" a="1"/>
  <c r="N608" i="1"/>
  <c r="M608" i="1"/>
  <c r="O607" i="1"/>
  <c r="O607" i="1" a="1"/>
  <c r="N607" i="1"/>
  <c r="M607" i="1"/>
  <c r="O606" i="1"/>
  <c r="O606" i="1" a="1"/>
  <c r="N606" i="1"/>
  <c r="M606" i="1"/>
  <c r="O605" i="1"/>
  <c r="O605" i="1" a="1"/>
  <c r="N605" i="1"/>
  <c r="M605" i="1"/>
  <c r="O604" i="1"/>
  <c r="O604" i="1" a="1"/>
  <c r="N604" i="1"/>
  <c r="M604" i="1"/>
  <c r="O603" i="1"/>
  <c r="O603" i="1" a="1"/>
  <c r="N603" i="1"/>
  <c r="M603" i="1"/>
  <c r="O602" i="1"/>
  <c r="O602" i="1" a="1"/>
  <c r="N602" i="1"/>
  <c r="M602" i="1"/>
  <c r="O601" i="1"/>
  <c r="O601" i="1" a="1"/>
  <c r="N601" i="1"/>
  <c r="M601" i="1"/>
  <c r="O600" i="1"/>
  <c r="O600" i="1" a="1"/>
  <c r="N600" i="1"/>
  <c r="M600" i="1"/>
  <c r="O599" i="1"/>
  <c r="O599" i="1" a="1"/>
  <c r="N599" i="1"/>
  <c r="M599" i="1"/>
  <c r="O598" i="1"/>
  <c r="O598" i="1" a="1"/>
  <c r="N598" i="1"/>
  <c r="M598" i="1"/>
  <c r="O597" i="1"/>
  <c r="O597" i="1" a="1"/>
  <c r="N597" i="1"/>
  <c r="M597" i="1"/>
  <c r="O596" i="1"/>
  <c r="O596" i="1" a="1"/>
  <c r="N596" i="1"/>
  <c r="M596" i="1"/>
  <c r="O595" i="1"/>
  <c r="O595" i="1" a="1"/>
  <c r="N595" i="1"/>
  <c r="M595" i="1"/>
  <c r="O594" i="1"/>
  <c r="O594" i="1" a="1"/>
  <c r="N594" i="1"/>
  <c r="M594" i="1"/>
  <c r="O593" i="1"/>
  <c r="O593" i="1" a="1"/>
  <c r="N593" i="1"/>
  <c r="M593" i="1"/>
  <c r="O592" i="1"/>
  <c r="O592" i="1" a="1"/>
  <c r="N592" i="1"/>
  <c r="M592" i="1"/>
  <c r="O591" i="1"/>
  <c r="O591" i="1" a="1"/>
  <c r="N591" i="1"/>
  <c r="M591" i="1"/>
  <c r="O590" i="1"/>
  <c r="O590" i="1" a="1"/>
  <c r="N590" i="1"/>
  <c r="M590" i="1"/>
  <c r="O589" i="1"/>
  <c r="O589" i="1" a="1"/>
  <c r="N589" i="1"/>
  <c r="M589" i="1"/>
  <c r="O588" i="1"/>
  <c r="O588" i="1" a="1"/>
  <c r="N588" i="1"/>
  <c r="M588" i="1"/>
  <c r="O587" i="1"/>
  <c r="O587" i="1" a="1"/>
  <c r="N587" i="1"/>
  <c r="M587" i="1"/>
  <c r="O586" i="1"/>
  <c r="O586" i="1" a="1"/>
  <c r="N586" i="1"/>
  <c r="M586" i="1"/>
  <c r="O585" i="1"/>
  <c r="O585" i="1" a="1"/>
  <c r="N585" i="1"/>
  <c r="M585" i="1"/>
  <c r="O584" i="1"/>
  <c r="O584" i="1" a="1"/>
  <c r="N584" i="1"/>
  <c r="M584" i="1"/>
  <c r="O583" i="1"/>
  <c r="O583" i="1" a="1"/>
  <c r="N583" i="1"/>
  <c r="M583" i="1"/>
  <c r="O582" i="1"/>
  <c r="O582" i="1" a="1"/>
  <c r="N582" i="1"/>
  <c r="M582" i="1"/>
  <c r="O581" i="1"/>
  <c r="O581" i="1" a="1"/>
  <c r="N581" i="1"/>
  <c r="M581" i="1"/>
  <c r="O580" i="1"/>
  <c r="O580" i="1" a="1"/>
  <c r="N580" i="1"/>
  <c r="M580" i="1"/>
  <c r="O579" i="1"/>
  <c r="O579" i="1" a="1"/>
  <c r="N579" i="1"/>
  <c r="M579" i="1"/>
  <c r="O578" i="1"/>
  <c r="O578" i="1" a="1"/>
  <c r="N578" i="1"/>
  <c r="M578" i="1"/>
  <c r="O577" i="1"/>
  <c r="O577" i="1" a="1"/>
  <c r="N577" i="1"/>
  <c r="M577" i="1"/>
  <c r="O576" i="1"/>
  <c r="O576" i="1" a="1"/>
  <c r="N576" i="1"/>
  <c r="M576" i="1"/>
  <c r="O575" i="1"/>
  <c r="O575" i="1" a="1"/>
  <c r="N575" i="1"/>
  <c r="M575" i="1"/>
  <c r="O574" i="1"/>
  <c r="O574" i="1" a="1"/>
  <c r="N574" i="1"/>
  <c r="M574" i="1"/>
  <c r="O573" i="1"/>
  <c r="O573" i="1" a="1"/>
  <c r="N573" i="1"/>
  <c r="M573" i="1"/>
  <c r="O572" i="1"/>
  <c r="O572" i="1" a="1"/>
  <c r="N572" i="1"/>
  <c r="M572" i="1"/>
  <c r="O571" i="1"/>
  <c r="O571" i="1" a="1"/>
  <c r="N571" i="1"/>
  <c r="M571" i="1"/>
  <c r="O570" i="1"/>
  <c r="O570" i="1" a="1"/>
  <c r="N570" i="1"/>
  <c r="M570" i="1"/>
  <c r="O569" i="1"/>
  <c r="O569" i="1" a="1"/>
  <c r="N569" i="1"/>
  <c r="M569" i="1"/>
  <c r="O568" i="1"/>
  <c r="O568" i="1" a="1"/>
  <c r="N568" i="1"/>
  <c r="M568" i="1"/>
  <c r="O567" i="1"/>
  <c r="O567" i="1" a="1"/>
  <c r="N567" i="1"/>
  <c r="M567" i="1"/>
  <c r="O566" i="1"/>
  <c r="O566" i="1" a="1"/>
  <c r="N566" i="1"/>
  <c r="M566" i="1"/>
  <c r="O565" i="1"/>
  <c r="O565" i="1" a="1"/>
  <c r="N565" i="1"/>
  <c r="M565" i="1"/>
  <c r="O564" i="1"/>
  <c r="O564" i="1" a="1"/>
  <c r="N564" i="1"/>
  <c r="M564" i="1"/>
  <c r="O563" i="1"/>
  <c r="O563" i="1" a="1"/>
  <c r="N563" i="1"/>
  <c r="M563" i="1"/>
  <c r="O562" i="1"/>
  <c r="O562" i="1" a="1"/>
  <c r="N562" i="1"/>
  <c r="M562" i="1"/>
  <c r="O561" i="1"/>
  <c r="O561" i="1" a="1"/>
  <c r="N561" i="1"/>
  <c r="M561" i="1"/>
  <c r="O560" i="1"/>
  <c r="O560" i="1" a="1"/>
  <c r="N560" i="1"/>
  <c r="M560" i="1"/>
  <c r="O559" i="1"/>
  <c r="O559" i="1" a="1"/>
  <c r="N559" i="1"/>
  <c r="M559" i="1"/>
  <c r="O558" i="1"/>
  <c r="O558" i="1" a="1"/>
  <c r="N558" i="1"/>
  <c r="M558" i="1"/>
  <c r="O557" i="1"/>
  <c r="O557" i="1" a="1"/>
  <c r="N557" i="1"/>
  <c r="M557" i="1"/>
  <c r="O556" i="1"/>
  <c r="O556" i="1" a="1"/>
  <c r="N556" i="1"/>
  <c r="M556" i="1"/>
  <c r="O555" i="1"/>
  <c r="O555" i="1" a="1"/>
  <c r="N555" i="1"/>
  <c r="M555" i="1"/>
  <c r="O554" i="1"/>
  <c r="O554" i="1" a="1"/>
  <c r="N554" i="1"/>
  <c r="M554" i="1"/>
  <c r="O553" i="1"/>
  <c r="O553" i="1" a="1"/>
  <c r="N553" i="1"/>
  <c r="M553" i="1"/>
  <c r="O552" i="1"/>
  <c r="O552" i="1" a="1"/>
  <c r="N552" i="1"/>
  <c r="M552" i="1"/>
  <c r="O551" i="1"/>
  <c r="O551" i="1" a="1"/>
  <c r="N551" i="1"/>
  <c r="M551" i="1"/>
  <c r="O550" i="1"/>
  <c r="O550" i="1" a="1"/>
  <c r="N550" i="1"/>
  <c r="M550" i="1"/>
  <c r="O549" i="1"/>
  <c r="O549" i="1" a="1"/>
  <c r="N549" i="1"/>
  <c r="M549" i="1"/>
  <c r="O548" i="1"/>
  <c r="O548" i="1" a="1"/>
  <c r="N548" i="1"/>
  <c r="M548" i="1"/>
  <c r="O547" i="1"/>
  <c r="O547" i="1" a="1"/>
  <c r="N547" i="1"/>
  <c r="M547" i="1"/>
  <c r="O546" i="1"/>
  <c r="O546" i="1" a="1"/>
  <c r="N546" i="1"/>
  <c r="M546" i="1"/>
  <c r="O545" i="1"/>
  <c r="O545" i="1" a="1"/>
  <c r="N545" i="1"/>
  <c r="M545" i="1"/>
  <c r="O544" i="1"/>
  <c r="O544" i="1" a="1"/>
  <c r="N544" i="1"/>
  <c r="M544" i="1"/>
  <c r="O543" i="1"/>
  <c r="O543" i="1" a="1"/>
  <c r="N543" i="1"/>
  <c r="M543" i="1"/>
  <c r="O542" i="1"/>
  <c r="O542" i="1" a="1"/>
  <c r="N542" i="1"/>
  <c r="M542" i="1"/>
  <c r="O541" i="1"/>
  <c r="O541" i="1" a="1"/>
  <c r="N541" i="1"/>
  <c r="M541" i="1"/>
  <c r="O540" i="1"/>
  <c r="O540" i="1" a="1"/>
  <c r="N540" i="1"/>
  <c r="M540" i="1"/>
  <c r="O539" i="1"/>
  <c r="O539" i="1" a="1"/>
  <c r="N539" i="1"/>
  <c r="M539" i="1"/>
  <c r="O538" i="1"/>
  <c r="O538" i="1" a="1"/>
  <c r="N538" i="1"/>
  <c r="M538" i="1"/>
  <c r="O537" i="1"/>
  <c r="O537" i="1" a="1"/>
  <c r="N537" i="1"/>
  <c r="M537" i="1"/>
  <c r="O536" i="1"/>
  <c r="O536" i="1" a="1"/>
  <c r="N536" i="1"/>
  <c r="M536" i="1"/>
  <c r="O535" i="1"/>
  <c r="O535" i="1" a="1"/>
  <c r="N535" i="1"/>
  <c r="M535" i="1"/>
  <c r="O534" i="1"/>
  <c r="O534" i="1" a="1"/>
  <c r="N534" i="1"/>
  <c r="M534" i="1"/>
  <c r="O533" i="1"/>
  <c r="O533" i="1" a="1"/>
  <c r="N533" i="1"/>
  <c r="M533" i="1"/>
  <c r="O532" i="1"/>
  <c r="O532" i="1" a="1"/>
  <c r="N532" i="1"/>
  <c r="M532" i="1"/>
  <c r="O531" i="1"/>
  <c r="O531" i="1" a="1"/>
  <c r="N531" i="1"/>
  <c r="M531" i="1"/>
  <c r="O530" i="1"/>
  <c r="O530" i="1" a="1"/>
  <c r="N530" i="1"/>
  <c r="M530" i="1"/>
  <c r="O529" i="1"/>
  <c r="O529" i="1" a="1"/>
  <c r="N529" i="1"/>
  <c r="M529" i="1"/>
  <c r="O528" i="1"/>
  <c r="O528" i="1" a="1"/>
  <c r="N528" i="1"/>
  <c r="M528" i="1"/>
  <c r="O527" i="1"/>
  <c r="O527" i="1" a="1"/>
  <c r="N527" i="1"/>
  <c r="M527" i="1"/>
  <c r="O526" i="1"/>
  <c r="O526" i="1" a="1"/>
  <c r="N526" i="1"/>
  <c r="M526" i="1"/>
  <c r="O525" i="1"/>
  <c r="O525" i="1" a="1"/>
  <c r="N525" i="1"/>
  <c r="M525" i="1"/>
  <c r="O524" i="1"/>
  <c r="O524" i="1" a="1"/>
  <c r="N524" i="1"/>
  <c r="M524" i="1"/>
  <c r="O523" i="1"/>
  <c r="O523" i="1" a="1"/>
  <c r="N523" i="1"/>
  <c r="M523" i="1"/>
  <c r="O522" i="1"/>
  <c r="O522" i="1" a="1"/>
  <c r="N522" i="1"/>
  <c r="M522" i="1"/>
  <c r="O521" i="1"/>
  <c r="O521" i="1" a="1"/>
  <c r="N521" i="1"/>
  <c r="M521" i="1"/>
  <c r="O520" i="1"/>
  <c r="O520" i="1" a="1"/>
  <c r="N520" i="1"/>
  <c r="M520" i="1"/>
  <c r="O519" i="1"/>
  <c r="O519" i="1" a="1"/>
  <c r="N519" i="1"/>
  <c r="M519" i="1"/>
  <c r="O518" i="1"/>
  <c r="O518" i="1" a="1"/>
  <c r="N518" i="1"/>
  <c r="M518" i="1"/>
  <c r="O517" i="1"/>
  <c r="O517" i="1" a="1"/>
  <c r="N517" i="1"/>
  <c r="M517" i="1"/>
  <c r="O516" i="1"/>
  <c r="O516" i="1" a="1"/>
  <c r="N516" i="1"/>
  <c r="M516" i="1"/>
  <c r="O515" i="1"/>
  <c r="O515" i="1" a="1"/>
  <c r="N515" i="1"/>
  <c r="M515" i="1"/>
  <c r="O514" i="1"/>
  <c r="O514" i="1" a="1"/>
  <c r="N514" i="1"/>
  <c r="M514" i="1"/>
  <c r="O513" i="1"/>
  <c r="O513" i="1" a="1"/>
  <c r="N513" i="1"/>
  <c r="M513" i="1"/>
  <c r="O512" i="1"/>
  <c r="O512" i="1" a="1"/>
  <c r="N512" i="1"/>
  <c r="M512" i="1"/>
  <c r="O511" i="1"/>
  <c r="O511" i="1" a="1"/>
  <c r="N511" i="1"/>
  <c r="M511" i="1"/>
  <c r="O510" i="1"/>
  <c r="O510" i="1" a="1"/>
  <c r="N510" i="1"/>
  <c r="M510" i="1"/>
  <c r="O509" i="1"/>
  <c r="O509" i="1" a="1"/>
  <c r="N509" i="1"/>
  <c r="M509" i="1"/>
  <c r="O508" i="1"/>
  <c r="O508" i="1" a="1"/>
  <c r="N508" i="1"/>
  <c r="M508" i="1"/>
  <c r="O507" i="1"/>
  <c r="O507" i="1" a="1"/>
  <c r="N507" i="1"/>
  <c r="M507" i="1"/>
  <c r="O506" i="1"/>
  <c r="O506" i="1" a="1"/>
  <c r="N506" i="1"/>
  <c r="M506" i="1"/>
  <c r="O505" i="1"/>
  <c r="O505" i="1" a="1"/>
  <c r="N505" i="1"/>
  <c r="M505" i="1"/>
  <c r="O504" i="1"/>
  <c r="O504" i="1" a="1"/>
  <c r="N504" i="1"/>
  <c r="M504" i="1"/>
  <c r="O503" i="1"/>
  <c r="O503" i="1" a="1"/>
  <c r="N503" i="1"/>
  <c r="M503" i="1"/>
  <c r="O502" i="1"/>
  <c r="O502" i="1" a="1"/>
  <c r="N502" i="1"/>
  <c r="M502" i="1"/>
  <c r="O501" i="1"/>
  <c r="O501" i="1" a="1"/>
  <c r="N501" i="1"/>
  <c r="M501" i="1"/>
  <c r="O500" i="1"/>
  <c r="O500" i="1" a="1"/>
  <c r="N500" i="1"/>
  <c r="M500" i="1"/>
  <c r="O499" i="1"/>
  <c r="O499" i="1" a="1"/>
  <c r="N499" i="1"/>
  <c r="M499" i="1"/>
  <c r="O498" i="1"/>
  <c r="O498" i="1" a="1"/>
  <c r="N498" i="1"/>
  <c r="M498" i="1"/>
  <c r="O497" i="1"/>
  <c r="O497" i="1" a="1"/>
  <c r="N497" i="1"/>
  <c r="M497" i="1"/>
  <c r="O496" i="1"/>
  <c r="O496" i="1" a="1"/>
  <c r="N496" i="1"/>
  <c r="M496" i="1"/>
  <c r="O495" i="1"/>
  <c r="O495" i="1" a="1"/>
  <c r="N495" i="1"/>
  <c r="M495" i="1"/>
  <c r="O494" i="1"/>
  <c r="O494" i="1" a="1"/>
  <c r="N494" i="1"/>
  <c r="M494" i="1"/>
  <c r="O493" i="1"/>
  <c r="O493" i="1" a="1"/>
  <c r="N493" i="1"/>
  <c r="M493" i="1"/>
  <c r="O492" i="1"/>
  <c r="O492" i="1" a="1"/>
  <c r="N492" i="1"/>
  <c r="M492" i="1"/>
  <c r="O491" i="1"/>
  <c r="O491" i="1" a="1"/>
  <c r="N491" i="1"/>
  <c r="M491" i="1"/>
  <c r="O490" i="1"/>
  <c r="O490" i="1" a="1"/>
  <c r="N490" i="1"/>
  <c r="M490" i="1"/>
  <c r="O489" i="1"/>
  <c r="O489" i="1" a="1"/>
  <c r="N489" i="1"/>
  <c r="M489" i="1"/>
  <c r="O488" i="1"/>
  <c r="O488" i="1" a="1"/>
  <c r="N488" i="1"/>
  <c r="M488" i="1"/>
  <c r="O487" i="1"/>
  <c r="O487" i="1" a="1"/>
  <c r="N487" i="1"/>
  <c r="M487" i="1"/>
  <c r="O486" i="1"/>
  <c r="O486" i="1" a="1"/>
  <c r="N486" i="1"/>
  <c r="M486" i="1"/>
  <c r="O485" i="1"/>
  <c r="O485" i="1" a="1"/>
  <c r="N485" i="1"/>
  <c r="M485" i="1"/>
  <c r="O484" i="1"/>
  <c r="O484" i="1" a="1"/>
  <c r="N484" i="1"/>
  <c r="M484" i="1"/>
  <c r="O483" i="1"/>
  <c r="O483" i="1" a="1"/>
  <c r="N483" i="1"/>
  <c r="M483" i="1"/>
  <c r="O482" i="1"/>
  <c r="O482" i="1" a="1"/>
  <c r="N482" i="1"/>
  <c r="M482" i="1"/>
  <c r="O481" i="1"/>
  <c r="O481" i="1" a="1"/>
  <c r="N481" i="1"/>
  <c r="M481" i="1"/>
  <c r="O480" i="1"/>
  <c r="O480" i="1" a="1"/>
  <c r="N480" i="1"/>
  <c r="M480" i="1"/>
  <c r="O479" i="1"/>
  <c r="O479" i="1" a="1"/>
  <c r="N479" i="1"/>
  <c r="M479" i="1"/>
  <c r="O478" i="1"/>
  <c r="O478" i="1" a="1"/>
  <c r="N478" i="1"/>
  <c r="M478" i="1"/>
  <c r="O477" i="1"/>
  <c r="O477" i="1" a="1"/>
  <c r="N477" i="1"/>
  <c r="M477" i="1"/>
  <c r="O476" i="1"/>
  <c r="O476" i="1" a="1"/>
  <c r="N476" i="1"/>
  <c r="M476" i="1"/>
  <c r="O475" i="1"/>
  <c r="O475" i="1" a="1"/>
  <c r="N475" i="1"/>
  <c r="M475" i="1"/>
  <c r="O474" i="1"/>
  <c r="O474" i="1" a="1"/>
  <c r="N474" i="1"/>
  <c r="M474" i="1"/>
  <c r="O473" i="1"/>
  <c r="O473" i="1" a="1"/>
  <c r="N473" i="1"/>
  <c r="M473" i="1"/>
  <c r="O472" i="1"/>
  <c r="O472" i="1" a="1"/>
  <c r="N472" i="1"/>
  <c r="M472" i="1"/>
  <c r="O471" i="1"/>
  <c r="O471" i="1" a="1"/>
  <c r="N471" i="1"/>
  <c r="M471" i="1"/>
  <c r="O470" i="1"/>
  <c r="O470" i="1" a="1"/>
  <c r="N470" i="1"/>
  <c r="M470" i="1"/>
  <c r="O469" i="1"/>
  <c r="O469" i="1" a="1"/>
  <c r="N469" i="1"/>
  <c r="M469" i="1"/>
  <c r="O468" i="1"/>
  <c r="O468" i="1" a="1"/>
  <c r="N468" i="1"/>
  <c r="M468" i="1"/>
  <c r="O467" i="1"/>
  <c r="O467" i="1" a="1"/>
  <c r="N467" i="1"/>
  <c r="M467" i="1"/>
  <c r="O466" i="1"/>
  <c r="O466" i="1" a="1"/>
  <c r="N466" i="1"/>
  <c r="M466" i="1"/>
  <c r="O465" i="1"/>
  <c r="O465" i="1" a="1"/>
  <c r="N465" i="1"/>
  <c r="M465" i="1"/>
  <c r="O464" i="1"/>
  <c r="O464" i="1" a="1"/>
  <c r="N464" i="1"/>
  <c r="M464" i="1"/>
  <c r="O463" i="1"/>
  <c r="O463" i="1" a="1"/>
  <c r="N463" i="1"/>
  <c r="M463" i="1"/>
  <c r="O462" i="1"/>
  <c r="O462" i="1" a="1"/>
  <c r="N462" i="1"/>
  <c r="M462" i="1"/>
  <c r="O461" i="1"/>
  <c r="O461" i="1" a="1"/>
  <c r="N461" i="1"/>
  <c r="M461" i="1"/>
  <c r="O460" i="1"/>
  <c r="O460" i="1" a="1"/>
  <c r="N460" i="1"/>
  <c r="M460" i="1"/>
  <c r="O459" i="1"/>
  <c r="O459" i="1" a="1"/>
  <c r="N459" i="1"/>
  <c r="M459" i="1"/>
  <c r="O458" i="1"/>
  <c r="O458" i="1" a="1"/>
  <c r="N458" i="1"/>
  <c r="M458" i="1"/>
  <c r="O457" i="1"/>
  <c r="O457" i="1" a="1"/>
  <c r="N457" i="1"/>
  <c r="M457" i="1"/>
  <c r="O456" i="1"/>
  <c r="O456" i="1" a="1"/>
  <c r="N456" i="1"/>
  <c r="M456" i="1"/>
  <c r="O455" i="1"/>
  <c r="O455" i="1" a="1"/>
  <c r="N455" i="1"/>
  <c r="M455" i="1"/>
  <c r="O454" i="1"/>
  <c r="O454" i="1" a="1"/>
  <c r="N454" i="1"/>
  <c r="M454" i="1"/>
  <c r="O453" i="1"/>
  <c r="O453" i="1" a="1"/>
  <c r="N453" i="1"/>
  <c r="M453" i="1"/>
  <c r="O452" i="1"/>
  <c r="O452" i="1" a="1"/>
  <c r="N452" i="1"/>
  <c r="M452" i="1"/>
  <c r="O451" i="1"/>
  <c r="O451" i="1" a="1"/>
  <c r="N451" i="1"/>
  <c r="M451" i="1"/>
  <c r="O450" i="1"/>
  <c r="O450" i="1" a="1"/>
  <c r="N450" i="1"/>
  <c r="M450" i="1"/>
  <c r="O449" i="1"/>
  <c r="O449" i="1" a="1"/>
  <c r="N449" i="1"/>
  <c r="M449" i="1"/>
  <c r="O448" i="1"/>
  <c r="O448" i="1" a="1"/>
  <c r="N448" i="1"/>
  <c r="M448" i="1"/>
  <c r="O447" i="1"/>
  <c r="O447" i="1" a="1"/>
  <c r="N447" i="1"/>
  <c r="M447" i="1"/>
  <c r="O446" i="1"/>
  <c r="O446" i="1" a="1"/>
  <c r="N446" i="1"/>
  <c r="M446" i="1"/>
  <c r="O445" i="1"/>
  <c r="O445" i="1" a="1"/>
  <c r="N445" i="1"/>
  <c r="M445" i="1"/>
  <c r="O444" i="1"/>
  <c r="O444" i="1" a="1"/>
  <c r="N444" i="1"/>
  <c r="M444" i="1"/>
  <c r="O443" i="1"/>
  <c r="O443" i="1" a="1"/>
  <c r="N443" i="1"/>
  <c r="M443" i="1"/>
  <c r="O442" i="1"/>
  <c r="O442" i="1" a="1"/>
  <c r="N442" i="1"/>
  <c r="M442" i="1"/>
  <c r="O441" i="1"/>
  <c r="O441" i="1" a="1"/>
  <c r="N441" i="1"/>
  <c r="M441" i="1"/>
  <c r="O440" i="1"/>
  <c r="O440" i="1" a="1"/>
  <c r="N440" i="1"/>
  <c r="M440" i="1"/>
  <c r="O439" i="1"/>
  <c r="O439" i="1" a="1"/>
  <c r="N439" i="1"/>
  <c r="M439" i="1"/>
  <c r="O438" i="1"/>
  <c r="O438" i="1" a="1"/>
  <c r="N438" i="1"/>
  <c r="M438" i="1"/>
  <c r="O437" i="1"/>
  <c r="O437" i="1" a="1"/>
  <c r="N437" i="1"/>
  <c r="M437" i="1"/>
  <c r="O436" i="1"/>
  <c r="O436" i="1" a="1"/>
  <c r="N436" i="1"/>
  <c r="M436" i="1"/>
  <c r="O435" i="1"/>
  <c r="O435" i="1" a="1"/>
  <c r="N435" i="1"/>
  <c r="M435" i="1"/>
  <c r="O434" i="1"/>
  <c r="O434" i="1" a="1"/>
  <c r="N434" i="1"/>
  <c r="M434" i="1"/>
  <c r="O433" i="1"/>
  <c r="O433" i="1" a="1"/>
  <c r="N433" i="1"/>
  <c r="M433" i="1"/>
  <c r="O432" i="1"/>
  <c r="O432" i="1" a="1"/>
  <c r="N432" i="1"/>
  <c r="M432" i="1"/>
  <c r="O431" i="1"/>
  <c r="O431" i="1" a="1"/>
  <c r="N431" i="1"/>
  <c r="M431" i="1"/>
  <c r="O430" i="1"/>
  <c r="O430" i="1" a="1"/>
  <c r="N430" i="1"/>
  <c r="M430" i="1"/>
  <c r="O429" i="1"/>
  <c r="O429" i="1" a="1"/>
  <c r="N429" i="1"/>
  <c r="M429" i="1"/>
  <c r="O428" i="1"/>
  <c r="O428" i="1" a="1"/>
  <c r="N428" i="1"/>
  <c r="M428" i="1"/>
  <c r="O427" i="1"/>
  <c r="O427" i="1" a="1"/>
  <c r="N427" i="1"/>
  <c r="M427" i="1"/>
  <c r="O426" i="1"/>
  <c r="O426" i="1" a="1"/>
  <c r="N426" i="1"/>
  <c r="M426" i="1"/>
  <c r="O425" i="1"/>
  <c r="O425" i="1" a="1"/>
  <c r="N425" i="1"/>
  <c r="M425" i="1"/>
  <c r="O424" i="1"/>
  <c r="O424" i="1" a="1"/>
  <c r="N424" i="1"/>
  <c r="M424" i="1"/>
  <c r="O423" i="1"/>
  <c r="O423" i="1" a="1"/>
  <c r="N423" i="1"/>
  <c r="M423" i="1"/>
  <c r="O422" i="1"/>
  <c r="O422" i="1" a="1"/>
  <c r="N422" i="1"/>
  <c r="M422" i="1"/>
  <c r="O421" i="1"/>
  <c r="O421" i="1" a="1"/>
  <c r="N421" i="1"/>
  <c r="M421" i="1"/>
  <c r="O420" i="1"/>
  <c r="O420" i="1" a="1"/>
  <c r="N420" i="1"/>
  <c r="M420" i="1"/>
  <c r="O419" i="1"/>
  <c r="O419" i="1" a="1"/>
  <c r="N419" i="1"/>
  <c r="M419" i="1"/>
  <c r="O418" i="1"/>
  <c r="O418" i="1" a="1"/>
  <c r="N418" i="1"/>
  <c r="M418" i="1"/>
  <c r="O417" i="1"/>
  <c r="O417" i="1" a="1"/>
  <c r="N417" i="1"/>
  <c r="M417" i="1"/>
  <c r="O416" i="1"/>
  <c r="O416" i="1" a="1"/>
  <c r="N416" i="1"/>
  <c r="M416" i="1"/>
  <c r="O415" i="1"/>
  <c r="O415" i="1" a="1"/>
  <c r="N415" i="1"/>
  <c r="M415" i="1"/>
  <c r="O414" i="1"/>
  <c r="O414" i="1" a="1"/>
  <c r="N414" i="1"/>
  <c r="M414" i="1"/>
  <c r="O413" i="1"/>
  <c r="O413" i="1" a="1"/>
  <c r="N413" i="1"/>
  <c r="M413" i="1"/>
  <c r="O412" i="1"/>
  <c r="O412" i="1" a="1"/>
  <c r="N412" i="1"/>
  <c r="M412" i="1"/>
  <c r="O411" i="1"/>
  <c r="O411" i="1" a="1"/>
  <c r="N411" i="1"/>
  <c r="M411" i="1"/>
  <c r="O410" i="1"/>
  <c r="O410" i="1" a="1"/>
  <c r="N410" i="1"/>
  <c r="M410" i="1"/>
  <c r="O409" i="1"/>
  <c r="O409" i="1" a="1"/>
  <c r="N409" i="1"/>
  <c r="M409" i="1"/>
  <c r="O408" i="1"/>
  <c r="O408" i="1" a="1"/>
  <c r="N408" i="1"/>
  <c r="M408" i="1"/>
  <c r="O407" i="1"/>
  <c r="O407" i="1" a="1"/>
  <c r="N407" i="1"/>
  <c r="M407" i="1"/>
  <c r="O406" i="1"/>
  <c r="O406" i="1" a="1"/>
  <c r="N406" i="1"/>
  <c r="M406" i="1"/>
  <c r="O405" i="1"/>
  <c r="O405" i="1" a="1"/>
  <c r="N405" i="1"/>
  <c r="M405" i="1"/>
  <c r="O404" i="1"/>
  <c r="O404" i="1" a="1"/>
  <c r="N404" i="1"/>
  <c r="M404" i="1"/>
  <c r="O403" i="1"/>
  <c r="O403" i="1" a="1"/>
  <c r="N403" i="1"/>
  <c r="M403" i="1"/>
  <c r="O402" i="1"/>
  <c r="O402" i="1" a="1"/>
  <c r="N402" i="1"/>
  <c r="M402" i="1"/>
  <c r="O401" i="1"/>
  <c r="O401" i="1" a="1"/>
  <c r="N401" i="1"/>
  <c r="M401" i="1"/>
  <c r="O400" i="1"/>
  <c r="O400" i="1" a="1"/>
  <c r="N400" i="1"/>
  <c r="M400" i="1"/>
  <c r="O399" i="1"/>
  <c r="O399" i="1" a="1"/>
  <c r="N399" i="1"/>
  <c r="M399" i="1"/>
  <c r="O398" i="1"/>
  <c r="O398" i="1" a="1"/>
  <c r="N398" i="1"/>
  <c r="M398" i="1"/>
  <c r="O397" i="1"/>
  <c r="O397" i="1" a="1"/>
  <c r="N397" i="1"/>
  <c r="M397" i="1"/>
  <c r="O396" i="1"/>
  <c r="O396" i="1" a="1"/>
  <c r="N396" i="1"/>
  <c r="M396" i="1"/>
  <c r="O395" i="1"/>
  <c r="O395" i="1" a="1"/>
  <c r="N395" i="1"/>
  <c r="M395" i="1"/>
  <c r="O394" i="1"/>
  <c r="O394" i="1" a="1"/>
  <c r="N394" i="1"/>
  <c r="M394" i="1"/>
  <c r="O393" i="1"/>
  <c r="O393" i="1" a="1"/>
  <c r="N393" i="1"/>
  <c r="M393" i="1"/>
  <c r="O392" i="1"/>
  <c r="O392" i="1" a="1"/>
  <c r="N392" i="1"/>
  <c r="M392" i="1"/>
  <c r="O391" i="1"/>
  <c r="O391" i="1" a="1"/>
  <c r="N391" i="1"/>
  <c r="M391" i="1"/>
  <c r="O390" i="1"/>
  <c r="O390" i="1" a="1"/>
  <c r="N390" i="1"/>
  <c r="M390" i="1"/>
  <c r="O389" i="1"/>
  <c r="O389" i="1" a="1"/>
  <c r="N389" i="1"/>
  <c r="M389" i="1"/>
  <c r="O388" i="1"/>
  <c r="O388" i="1" a="1"/>
  <c r="N388" i="1"/>
  <c r="M388" i="1"/>
  <c r="O387" i="1"/>
  <c r="O387" i="1" a="1"/>
  <c r="N387" i="1"/>
  <c r="M387" i="1"/>
  <c r="O386" i="1"/>
  <c r="O386" i="1" a="1"/>
  <c r="N386" i="1"/>
  <c r="M386" i="1"/>
  <c r="O385" i="1"/>
  <c r="O385" i="1" a="1"/>
  <c r="N385" i="1"/>
  <c r="M385" i="1"/>
  <c r="O384" i="1"/>
  <c r="O384" i="1" a="1"/>
  <c r="N384" i="1"/>
  <c r="M384" i="1"/>
  <c r="O383" i="1"/>
  <c r="O383" i="1" a="1"/>
  <c r="N383" i="1"/>
  <c r="M383" i="1"/>
  <c r="O382" i="1"/>
  <c r="O382" i="1" a="1"/>
  <c r="N382" i="1"/>
  <c r="M382" i="1"/>
  <c r="O381" i="1"/>
  <c r="O381" i="1" a="1"/>
  <c r="N381" i="1"/>
  <c r="M381" i="1"/>
  <c r="O380" i="1"/>
  <c r="O380" i="1" a="1"/>
  <c r="N380" i="1"/>
  <c r="M380" i="1"/>
  <c r="O379" i="1"/>
  <c r="O379" i="1" a="1"/>
  <c r="N379" i="1"/>
  <c r="M379" i="1"/>
  <c r="O378" i="1"/>
  <c r="O378" i="1" a="1"/>
  <c r="N378" i="1"/>
  <c r="M378" i="1"/>
  <c r="O377" i="1"/>
  <c r="O377" i="1" a="1"/>
  <c r="N377" i="1"/>
  <c r="M377" i="1"/>
  <c r="O376" i="1"/>
  <c r="O376" i="1" a="1"/>
  <c r="N376" i="1"/>
  <c r="M376" i="1"/>
  <c r="O375" i="1"/>
  <c r="O375" i="1" a="1"/>
  <c r="N375" i="1"/>
  <c r="M375" i="1"/>
  <c r="O374" i="1"/>
  <c r="O374" i="1" a="1"/>
  <c r="N374" i="1"/>
  <c r="M374" i="1"/>
  <c r="O373" i="1"/>
  <c r="O373" i="1" a="1"/>
  <c r="N373" i="1"/>
  <c r="M373" i="1"/>
  <c r="O372" i="1"/>
  <c r="O372" i="1" a="1"/>
  <c r="N372" i="1"/>
  <c r="M372" i="1"/>
  <c r="O371" i="1"/>
  <c r="O371" i="1" a="1"/>
  <c r="N371" i="1"/>
  <c r="M371" i="1"/>
  <c r="O370" i="1"/>
  <c r="O370" i="1" a="1"/>
  <c r="N370" i="1"/>
  <c r="M370" i="1"/>
  <c r="O369" i="1"/>
  <c r="O369" i="1" a="1"/>
  <c r="N369" i="1"/>
  <c r="M369" i="1"/>
  <c r="O368" i="1"/>
  <c r="O368" i="1" a="1"/>
  <c r="N368" i="1"/>
  <c r="M368" i="1"/>
  <c r="O367" i="1"/>
  <c r="O367" i="1" a="1"/>
  <c r="N367" i="1"/>
  <c r="M367" i="1"/>
  <c r="O366" i="1"/>
  <c r="O366" i="1" a="1"/>
  <c r="N366" i="1"/>
  <c r="M366" i="1"/>
  <c r="O365" i="1"/>
  <c r="O365" i="1" a="1"/>
  <c r="N365" i="1"/>
  <c r="M365" i="1"/>
  <c r="O364" i="1"/>
  <c r="O364" i="1" a="1"/>
  <c r="N364" i="1"/>
  <c r="M364" i="1"/>
  <c r="O363" i="1"/>
  <c r="O363" i="1" a="1"/>
  <c r="N363" i="1"/>
  <c r="M363" i="1"/>
  <c r="O362" i="1"/>
  <c r="O362" i="1" a="1"/>
  <c r="N362" i="1"/>
  <c r="M362" i="1"/>
  <c r="O361" i="1"/>
  <c r="O361" i="1" a="1"/>
  <c r="N361" i="1"/>
  <c r="M361" i="1"/>
  <c r="O360" i="1"/>
  <c r="O360" i="1" a="1"/>
  <c r="N360" i="1"/>
  <c r="M360" i="1"/>
  <c r="O359" i="1"/>
  <c r="O359" i="1" a="1"/>
  <c r="N359" i="1"/>
  <c r="M359" i="1"/>
  <c r="O358" i="1"/>
  <c r="O358" i="1" a="1"/>
  <c r="N358" i="1"/>
  <c r="M358" i="1"/>
  <c r="O357" i="1"/>
  <c r="O357" i="1" a="1"/>
  <c r="N357" i="1"/>
  <c r="M357" i="1"/>
  <c r="O356" i="1"/>
  <c r="O356" i="1" a="1"/>
  <c r="N356" i="1"/>
  <c r="M356" i="1"/>
  <c r="O355" i="1"/>
  <c r="O355" i="1" a="1"/>
  <c r="N355" i="1"/>
  <c r="M355" i="1"/>
  <c r="O354" i="1"/>
  <c r="O354" i="1" a="1"/>
  <c r="N354" i="1"/>
  <c r="M354" i="1"/>
  <c r="O353" i="1"/>
  <c r="O353" i="1" a="1"/>
  <c r="N353" i="1"/>
  <c r="M353" i="1"/>
  <c r="O352" i="1"/>
  <c r="O352" i="1" a="1"/>
  <c r="N352" i="1"/>
  <c r="M352" i="1"/>
  <c r="O351" i="1"/>
  <c r="O351" i="1" a="1"/>
  <c r="N351" i="1"/>
  <c r="M351" i="1"/>
  <c r="O350" i="1"/>
  <c r="O350" i="1" a="1"/>
  <c r="N350" i="1"/>
  <c r="M350" i="1"/>
  <c r="O349" i="1"/>
  <c r="O349" i="1" a="1"/>
  <c r="N349" i="1"/>
  <c r="M349" i="1"/>
  <c r="O348" i="1"/>
  <c r="O348" i="1" a="1"/>
  <c r="N348" i="1"/>
  <c r="M348" i="1"/>
  <c r="O347" i="1"/>
  <c r="O347" i="1" a="1"/>
  <c r="N347" i="1"/>
  <c r="M347" i="1"/>
  <c r="O346" i="1"/>
  <c r="O346" i="1" a="1"/>
  <c r="N346" i="1"/>
  <c r="M346" i="1"/>
  <c r="O345" i="1"/>
  <c r="O345" i="1" a="1"/>
  <c r="N345" i="1"/>
  <c r="M345" i="1"/>
  <c r="O344" i="1"/>
  <c r="O344" i="1" a="1"/>
  <c r="N344" i="1"/>
  <c r="M344" i="1"/>
  <c r="O343" i="1"/>
  <c r="O343" i="1" a="1"/>
  <c r="N343" i="1"/>
  <c r="M343" i="1"/>
  <c r="O342" i="1"/>
  <c r="O342" i="1" a="1"/>
  <c r="N342" i="1"/>
  <c r="M342" i="1"/>
  <c r="O341" i="1"/>
  <c r="O341" i="1" a="1"/>
  <c r="N341" i="1"/>
  <c r="M341" i="1"/>
  <c r="O340" i="1"/>
  <c r="O340" i="1" a="1"/>
  <c r="N340" i="1"/>
  <c r="M340" i="1"/>
  <c r="O339" i="1"/>
  <c r="O339" i="1" a="1"/>
  <c r="N339" i="1"/>
  <c r="M339" i="1"/>
  <c r="O338" i="1"/>
  <c r="O338" i="1" a="1"/>
  <c r="N338" i="1"/>
  <c r="M338" i="1"/>
  <c r="O337" i="1"/>
  <c r="O337" i="1" a="1"/>
  <c r="N337" i="1"/>
  <c r="M337" i="1"/>
  <c r="O336" i="1"/>
  <c r="O336" i="1" a="1"/>
  <c r="N336" i="1"/>
  <c r="M336" i="1"/>
  <c r="O335" i="1"/>
  <c r="O335" i="1" a="1"/>
  <c r="N335" i="1"/>
  <c r="M335" i="1"/>
  <c r="O334" i="1"/>
  <c r="O334" i="1" a="1"/>
  <c r="N334" i="1"/>
  <c r="M334" i="1"/>
  <c r="O333" i="1"/>
  <c r="O333" i="1" a="1"/>
  <c r="N333" i="1"/>
  <c r="M333" i="1"/>
  <c r="O332" i="1"/>
  <c r="O332" i="1" a="1"/>
  <c r="N332" i="1"/>
  <c r="M332" i="1"/>
  <c r="O331" i="1"/>
  <c r="O331" i="1" a="1"/>
  <c r="N331" i="1"/>
  <c r="M331" i="1"/>
  <c r="O330" i="1"/>
  <c r="O330" i="1" a="1"/>
  <c r="N330" i="1"/>
  <c r="M330" i="1"/>
  <c r="O329" i="1"/>
  <c r="O329" i="1" a="1"/>
  <c r="N329" i="1"/>
  <c r="M329" i="1"/>
  <c r="O328" i="1"/>
  <c r="O328" i="1" a="1"/>
  <c r="N328" i="1"/>
  <c r="M328" i="1"/>
  <c r="O327" i="1"/>
  <c r="O327" i="1" a="1"/>
  <c r="N327" i="1"/>
  <c r="M327" i="1"/>
  <c r="O326" i="1"/>
  <c r="O326" i="1" a="1"/>
  <c r="N326" i="1"/>
  <c r="M326" i="1"/>
  <c r="O325" i="1"/>
  <c r="O325" i="1" a="1"/>
  <c r="N325" i="1"/>
  <c r="M325" i="1"/>
  <c r="O324" i="1"/>
  <c r="O324" i="1" a="1"/>
  <c r="N324" i="1"/>
  <c r="M324" i="1"/>
  <c r="O323" i="1"/>
  <c r="O323" i="1" a="1"/>
  <c r="N323" i="1"/>
  <c r="M323" i="1"/>
  <c r="O322" i="1"/>
  <c r="O322" i="1" a="1"/>
  <c r="N322" i="1"/>
  <c r="M322" i="1"/>
  <c r="O321" i="1"/>
  <c r="O321" i="1" a="1"/>
  <c r="N321" i="1"/>
  <c r="M321" i="1"/>
  <c r="O320" i="1"/>
  <c r="O320" i="1" a="1"/>
  <c r="N320" i="1"/>
  <c r="M320" i="1"/>
  <c r="O319" i="1"/>
  <c r="O319" i="1" a="1"/>
  <c r="N319" i="1"/>
  <c r="M319" i="1"/>
  <c r="O318" i="1"/>
  <c r="O318" i="1" a="1"/>
  <c r="N318" i="1"/>
  <c r="M318" i="1"/>
  <c r="O317" i="1"/>
  <c r="O317" i="1" a="1"/>
  <c r="N317" i="1"/>
  <c r="M317" i="1"/>
  <c r="O316" i="1"/>
  <c r="O316" i="1" a="1"/>
  <c r="N316" i="1"/>
  <c r="M316" i="1"/>
  <c r="O315" i="1"/>
  <c r="O315" i="1" a="1"/>
  <c r="N315" i="1"/>
  <c r="M315" i="1"/>
  <c r="O314" i="1"/>
  <c r="O314" i="1" a="1"/>
  <c r="N314" i="1"/>
  <c r="M314" i="1"/>
  <c r="O313" i="1"/>
  <c r="O313" i="1" a="1"/>
  <c r="N313" i="1"/>
  <c r="M313" i="1"/>
  <c r="O312" i="1"/>
  <c r="O312" i="1" a="1"/>
  <c r="N312" i="1"/>
  <c r="M312" i="1"/>
  <c r="O311" i="1"/>
  <c r="O311" i="1" a="1"/>
  <c r="N311" i="1"/>
  <c r="M311" i="1"/>
  <c r="O310" i="1"/>
  <c r="O310" i="1" a="1"/>
  <c r="N310" i="1"/>
  <c r="M310" i="1"/>
  <c r="O309" i="1"/>
  <c r="O309" i="1" a="1"/>
  <c r="N309" i="1"/>
  <c r="M309" i="1"/>
  <c r="O308" i="1"/>
  <c r="O308" i="1" a="1"/>
  <c r="N308" i="1"/>
  <c r="M308" i="1"/>
  <c r="O307" i="1"/>
  <c r="O307" i="1" a="1"/>
  <c r="N307" i="1"/>
  <c r="M307" i="1"/>
  <c r="O306" i="1"/>
  <c r="O306" i="1" a="1"/>
  <c r="N306" i="1"/>
  <c r="M306" i="1"/>
  <c r="O305" i="1"/>
  <c r="O305" i="1" a="1"/>
  <c r="N305" i="1"/>
  <c r="M305" i="1"/>
  <c r="O304" i="1"/>
  <c r="O304" i="1" a="1"/>
  <c r="N304" i="1"/>
  <c r="M304" i="1"/>
  <c r="O303" i="1"/>
  <c r="O303" i="1" a="1"/>
  <c r="N303" i="1"/>
  <c r="M303" i="1"/>
  <c r="O302" i="1"/>
  <c r="O302" i="1" a="1"/>
  <c r="N302" i="1"/>
  <c r="M302" i="1"/>
  <c r="O301" i="1"/>
  <c r="O301" i="1" a="1"/>
  <c r="N301" i="1"/>
  <c r="M301" i="1"/>
  <c r="O300" i="1"/>
  <c r="O300" i="1" a="1"/>
  <c r="N300" i="1"/>
  <c r="M300" i="1"/>
  <c r="O299" i="1"/>
  <c r="O299" i="1" a="1"/>
  <c r="N299" i="1"/>
  <c r="M299" i="1"/>
  <c r="O298" i="1"/>
  <c r="O298" i="1" a="1"/>
  <c r="N298" i="1"/>
  <c r="M298" i="1"/>
  <c r="O297" i="1"/>
  <c r="O297" i="1" a="1"/>
  <c r="N297" i="1"/>
  <c r="M297" i="1"/>
  <c r="O296" i="1"/>
  <c r="O296" i="1" a="1"/>
  <c r="N296" i="1"/>
  <c r="M296" i="1"/>
  <c r="O295" i="1"/>
  <c r="O295" i="1" a="1"/>
  <c r="N295" i="1"/>
  <c r="M295" i="1"/>
  <c r="O294" i="1"/>
  <c r="O294" i="1" a="1"/>
  <c r="N294" i="1"/>
  <c r="M294" i="1"/>
  <c r="O293" i="1"/>
  <c r="O293" i="1" a="1"/>
  <c r="N293" i="1"/>
  <c r="M293" i="1"/>
  <c r="O292" i="1"/>
  <c r="O292" i="1" a="1"/>
  <c r="N292" i="1"/>
  <c r="M292" i="1"/>
  <c r="O291" i="1"/>
  <c r="O291" i="1" a="1"/>
  <c r="N291" i="1"/>
  <c r="M291" i="1"/>
  <c r="O290" i="1"/>
  <c r="O290" i="1" a="1"/>
  <c r="N290" i="1"/>
  <c r="M290" i="1"/>
  <c r="O289" i="1"/>
  <c r="O289" i="1" a="1"/>
  <c r="N289" i="1"/>
  <c r="M289" i="1"/>
  <c r="O288" i="1"/>
  <c r="O288" i="1" a="1"/>
  <c r="N288" i="1"/>
  <c r="M288" i="1"/>
  <c r="O287" i="1"/>
  <c r="O287" i="1" a="1"/>
  <c r="N287" i="1"/>
  <c r="M287" i="1"/>
  <c r="O286" i="1"/>
  <c r="O286" i="1" a="1"/>
  <c r="N286" i="1"/>
  <c r="M286" i="1"/>
  <c r="O285" i="1"/>
  <c r="O285" i="1" a="1"/>
  <c r="N285" i="1"/>
  <c r="M285" i="1"/>
  <c r="O284" i="1"/>
  <c r="O284" i="1" a="1"/>
  <c r="N284" i="1"/>
  <c r="M284" i="1"/>
  <c r="O283" i="1"/>
  <c r="O283" i="1" a="1"/>
  <c r="N283" i="1"/>
  <c r="M283" i="1"/>
  <c r="O282" i="1"/>
  <c r="O282" i="1" a="1"/>
  <c r="N282" i="1"/>
  <c r="M282" i="1"/>
  <c r="O281" i="1"/>
  <c r="O281" i="1" a="1"/>
  <c r="N281" i="1"/>
  <c r="M281" i="1"/>
  <c r="O280" i="1"/>
  <c r="O280" i="1" a="1"/>
  <c r="N280" i="1"/>
  <c r="M280" i="1"/>
  <c r="O279" i="1"/>
  <c r="O279" i="1" a="1"/>
  <c r="N279" i="1"/>
  <c r="M279" i="1"/>
  <c r="O278" i="1"/>
  <c r="O278" i="1" a="1"/>
  <c r="N278" i="1"/>
  <c r="M278" i="1"/>
  <c r="O277" i="1"/>
  <c r="O277" i="1" a="1"/>
  <c r="N277" i="1"/>
  <c r="M277" i="1"/>
  <c r="O276" i="1"/>
  <c r="O276" i="1" a="1"/>
  <c r="N276" i="1"/>
  <c r="M276" i="1"/>
  <c r="O275" i="1"/>
  <c r="O275" i="1" a="1"/>
  <c r="N275" i="1"/>
  <c r="M275" i="1"/>
  <c r="O274" i="1"/>
  <c r="O274" i="1" a="1"/>
  <c r="N274" i="1"/>
  <c r="M274" i="1"/>
  <c r="O273" i="1"/>
  <c r="O273" i="1" a="1"/>
  <c r="N273" i="1"/>
  <c r="M273" i="1"/>
  <c r="O272" i="1"/>
  <c r="O272" i="1" a="1"/>
  <c r="N272" i="1"/>
  <c r="M272" i="1"/>
  <c r="O271" i="1"/>
  <c r="O271" i="1" a="1"/>
  <c r="N271" i="1"/>
  <c r="M271" i="1"/>
  <c r="O270" i="1"/>
  <c r="O270" i="1" a="1"/>
  <c r="N270" i="1"/>
  <c r="M270" i="1"/>
  <c r="O269" i="1"/>
  <c r="O269" i="1" a="1"/>
  <c r="N269" i="1"/>
  <c r="M269" i="1"/>
  <c r="O268" i="1"/>
  <c r="O268" i="1" a="1"/>
  <c r="N268" i="1"/>
  <c r="M268" i="1"/>
  <c r="O267" i="1"/>
  <c r="O267" i="1" a="1"/>
  <c r="N267" i="1"/>
  <c r="M267" i="1"/>
  <c r="O266" i="1"/>
  <c r="O266" i="1" a="1"/>
  <c r="N266" i="1"/>
  <c r="M266" i="1"/>
  <c r="O265" i="1"/>
  <c r="O265" i="1" a="1"/>
  <c r="N265" i="1"/>
  <c r="M265" i="1"/>
  <c r="O264" i="1"/>
  <c r="O264" i="1" a="1"/>
  <c r="N264" i="1"/>
  <c r="M264" i="1"/>
  <c r="O263" i="1"/>
  <c r="O263" i="1" a="1"/>
  <c r="N263" i="1"/>
  <c r="M263" i="1"/>
  <c r="O262" i="1"/>
  <c r="O262" i="1" a="1"/>
  <c r="N262" i="1"/>
  <c r="M262" i="1"/>
  <c r="O261" i="1"/>
  <c r="O261" i="1" a="1"/>
  <c r="N261" i="1"/>
  <c r="M261" i="1"/>
  <c r="O260" i="1"/>
  <c r="O260" i="1" a="1"/>
  <c r="N260" i="1"/>
  <c r="M260" i="1"/>
  <c r="O259" i="1"/>
  <c r="O259" i="1" a="1"/>
  <c r="N259" i="1"/>
  <c r="M259" i="1"/>
  <c r="O258" i="1"/>
  <c r="O258" i="1" a="1"/>
  <c r="N258" i="1"/>
  <c r="M258" i="1"/>
  <c r="O257" i="1"/>
  <c r="O257" i="1" a="1"/>
  <c r="N257" i="1"/>
  <c r="M257" i="1"/>
  <c r="O256" i="1"/>
  <c r="O256" i="1" a="1"/>
  <c r="N256" i="1"/>
  <c r="M256" i="1"/>
  <c r="O255" i="1"/>
  <c r="O255" i="1" a="1"/>
  <c r="N255" i="1"/>
  <c r="M255" i="1"/>
  <c r="O254" i="1"/>
  <c r="O254" i="1" a="1"/>
  <c r="N254" i="1"/>
  <c r="M254" i="1"/>
  <c r="O253" i="1"/>
  <c r="O253" i="1" a="1"/>
  <c r="N253" i="1"/>
  <c r="M253" i="1"/>
  <c r="O252" i="1"/>
  <c r="O252" i="1" a="1"/>
  <c r="N252" i="1"/>
  <c r="M252" i="1"/>
  <c r="O251" i="1"/>
  <c r="O251" i="1" a="1"/>
  <c r="N251" i="1"/>
  <c r="M251" i="1"/>
  <c r="O250" i="1"/>
  <c r="O250" i="1" a="1"/>
  <c r="N250" i="1"/>
  <c r="M250" i="1"/>
  <c r="O249" i="1"/>
  <c r="O249" i="1" a="1"/>
  <c r="N249" i="1"/>
  <c r="M249" i="1"/>
  <c r="O248" i="1"/>
  <c r="O248" i="1" a="1"/>
  <c r="N248" i="1"/>
  <c r="M248" i="1"/>
  <c r="O247" i="1"/>
  <c r="O247" i="1" a="1"/>
  <c r="N247" i="1"/>
  <c r="M247" i="1"/>
  <c r="O246" i="1"/>
  <c r="O246" i="1" a="1"/>
  <c r="N246" i="1"/>
  <c r="M246" i="1"/>
  <c r="O245" i="1"/>
  <c r="O245" i="1" a="1"/>
  <c r="N245" i="1"/>
  <c r="M245" i="1"/>
  <c r="O244" i="1"/>
  <c r="O244" i="1" a="1"/>
  <c r="N244" i="1"/>
  <c r="M244" i="1"/>
  <c r="O243" i="1"/>
  <c r="O243" i="1" a="1"/>
  <c r="N243" i="1"/>
  <c r="M243" i="1"/>
  <c r="O242" i="1"/>
  <c r="O242" i="1" a="1"/>
  <c r="N242" i="1"/>
  <c r="M242" i="1"/>
  <c r="O241" i="1"/>
  <c r="O241" i="1" a="1"/>
  <c r="N241" i="1"/>
  <c r="M241" i="1"/>
  <c r="O240" i="1"/>
  <c r="O240" i="1" a="1"/>
  <c r="N240" i="1"/>
  <c r="M240" i="1"/>
  <c r="O239" i="1"/>
  <c r="O239" i="1" a="1"/>
  <c r="N239" i="1"/>
  <c r="M239" i="1"/>
  <c r="O238" i="1"/>
  <c r="O238" i="1" a="1"/>
  <c r="N238" i="1"/>
  <c r="M238" i="1"/>
  <c r="O237" i="1"/>
  <c r="O237" i="1" a="1"/>
  <c r="N237" i="1"/>
  <c r="M237" i="1"/>
  <c r="O236" i="1"/>
  <c r="O236" i="1" a="1"/>
  <c r="N236" i="1"/>
  <c r="M236" i="1"/>
  <c r="O235" i="1"/>
  <c r="O235" i="1" a="1"/>
  <c r="N235" i="1"/>
  <c r="M235" i="1"/>
  <c r="O234" i="1"/>
  <c r="O234" i="1" a="1"/>
  <c r="N234" i="1"/>
  <c r="M234" i="1"/>
  <c r="O233" i="1"/>
  <c r="O233" i="1" a="1"/>
  <c r="N233" i="1"/>
  <c r="M233" i="1"/>
  <c r="O232" i="1"/>
  <c r="O232" i="1" a="1"/>
  <c r="N232" i="1"/>
  <c r="M232" i="1"/>
  <c r="O231" i="1"/>
  <c r="O231" i="1" a="1"/>
  <c r="N231" i="1"/>
  <c r="M231" i="1"/>
  <c r="O230" i="1"/>
  <c r="O230" i="1" a="1"/>
  <c r="N230" i="1"/>
  <c r="M230" i="1"/>
  <c r="O229" i="1"/>
  <c r="O229" i="1" a="1"/>
  <c r="N229" i="1"/>
  <c r="M229" i="1"/>
  <c r="O228" i="1"/>
  <c r="O228" i="1" a="1"/>
  <c r="N228" i="1"/>
  <c r="M228" i="1"/>
  <c r="O227" i="1"/>
  <c r="O227" i="1" a="1"/>
  <c r="N227" i="1"/>
  <c r="M227" i="1"/>
  <c r="O226" i="1"/>
  <c r="O226" i="1" a="1"/>
  <c r="N226" i="1"/>
  <c r="M226" i="1"/>
  <c r="O225" i="1"/>
  <c r="O225" i="1" a="1"/>
  <c r="N225" i="1"/>
  <c r="M225" i="1"/>
  <c r="O224" i="1"/>
  <c r="O224" i="1" a="1"/>
  <c r="N224" i="1"/>
  <c r="M224" i="1"/>
  <c r="O223" i="1"/>
  <c r="O223" i="1" a="1"/>
  <c r="N223" i="1"/>
  <c r="M223" i="1"/>
  <c r="O222" i="1"/>
  <c r="O222" i="1" a="1"/>
  <c r="N222" i="1"/>
  <c r="M222" i="1"/>
  <c r="O221" i="1"/>
  <c r="O221" i="1" a="1"/>
  <c r="N221" i="1"/>
  <c r="M221" i="1"/>
  <c r="O220" i="1"/>
  <c r="O220" i="1" a="1"/>
  <c r="N220" i="1"/>
  <c r="M220" i="1"/>
  <c r="O219" i="1"/>
  <c r="O219" i="1" a="1"/>
  <c r="N219" i="1"/>
  <c r="M219" i="1"/>
  <c r="O218" i="1"/>
  <c r="O218" i="1" a="1"/>
  <c r="N218" i="1"/>
  <c r="M218" i="1"/>
  <c r="O217" i="1"/>
  <c r="O217" i="1" a="1"/>
  <c r="N217" i="1"/>
  <c r="M217" i="1"/>
  <c r="O216" i="1"/>
  <c r="O216" i="1" a="1"/>
  <c r="N216" i="1"/>
  <c r="M216" i="1"/>
  <c r="O215" i="1"/>
  <c r="O215" i="1" a="1"/>
  <c r="N215" i="1"/>
  <c r="M215" i="1"/>
  <c r="O214" i="1"/>
  <c r="O214" i="1" a="1"/>
  <c r="N214" i="1"/>
  <c r="M214" i="1"/>
  <c r="O213" i="1"/>
  <c r="O213" i="1" a="1"/>
  <c r="N213" i="1"/>
  <c r="M213" i="1"/>
  <c r="O212" i="1"/>
  <c r="O212" i="1" a="1"/>
  <c r="N212" i="1"/>
  <c r="M212" i="1"/>
  <c r="O211" i="1"/>
  <c r="O211" i="1" a="1"/>
  <c r="N211" i="1"/>
  <c r="M211" i="1"/>
  <c r="O210" i="1"/>
  <c r="O210" i="1" a="1"/>
  <c r="N210" i="1"/>
  <c r="M210" i="1"/>
  <c r="O209" i="1"/>
  <c r="O209" i="1" a="1"/>
  <c r="N209" i="1"/>
  <c r="M209" i="1"/>
  <c r="O208" i="1"/>
  <c r="O208" i="1" a="1"/>
  <c r="N208" i="1"/>
  <c r="M208" i="1"/>
  <c r="O207" i="1"/>
  <c r="O207" i="1" a="1"/>
  <c r="N207" i="1"/>
  <c r="M207" i="1"/>
  <c r="O206" i="1"/>
  <c r="O206" i="1" a="1"/>
  <c r="N206" i="1"/>
  <c r="M206" i="1"/>
  <c r="O205" i="1"/>
  <c r="O205" i="1" a="1"/>
  <c r="N205" i="1"/>
  <c r="M205" i="1"/>
  <c r="O204" i="1"/>
  <c r="O204" i="1" a="1"/>
  <c r="N204" i="1"/>
  <c r="M204" i="1"/>
  <c r="O203" i="1"/>
  <c r="O203" i="1" a="1"/>
  <c r="N203" i="1"/>
  <c r="M203" i="1"/>
  <c r="O202" i="1"/>
  <c r="O202" i="1" a="1"/>
  <c r="N202" i="1"/>
  <c r="M202" i="1"/>
  <c r="O201" i="1"/>
  <c r="O201" i="1" a="1"/>
  <c r="N201" i="1"/>
  <c r="M201" i="1"/>
  <c r="O200" i="1"/>
  <c r="O200" i="1" a="1"/>
  <c r="N200" i="1"/>
  <c r="M200" i="1"/>
  <c r="O199" i="1"/>
  <c r="O199" i="1" a="1"/>
  <c r="N199" i="1"/>
  <c r="M199" i="1"/>
  <c r="O198" i="1"/>
  <c r="O198" i="1" a="1"/>
  <c r="N198" i="1"/>
  <c r="M198" i="1"/>
  <c r="O197" i="1"/>
  <c r="O197" i="1" a="1"/>
  <c r="N197" i="1"/>
  <c r="M197" i="1"/>
  <c r="O196" i="1"/>
  <c r="O196" i="1" a="1"/>
  <c r="N196" i="1"/>
  <c r="M196" i="1"/>
  <c r="O195" i="1"/>
  <c r="O195" i="1" a="1"/>
  <c r="N195" i="1"/>
  <c r="M195" i="1"/>
  <c r="O194" i="1"/>
  <c r="O194" i="1" a="1"/>
  <c r="N194" i="1"/>
  <c r="M194" i="1"/>
  <c r="O193" i="1"/>
  <c r="O193" i="1" a="1"/>
  <c r="N193" i="1"/>
  <c r="M193" i="1"/>
  <c r="O192" i="1"/>
  <c r="O192" i="1" a="1"/>
  <c r="N192" i="1"/>
  <c r="M192" i="1"/>
  <c r="O191" i="1"/>
  <c r="O191" i="1" a="1"/>
  <c r="N191" i="1"/>
  <c r="M191" i="1"/>
  <c r="O190" i="1"/>
  <c r="O190" i="1" a="1"/>
  <c r="N190" i="1"/>
  <c r="M190" i="1"/>
  <c r="O189" i="1"/>
  <c r="O189" i="1" a="1"/>
  <c r="N189" i="1"/>
  <c r="M189" i="1"/>
  <c r="O188" i="1"/>
  <c r="O188" i="1" a="1"/>
  <c r="N188" i="1"/>
  <c r="M188" i="1"/>
  <c r="O187" i="1"/>
  <c r="O187" i="1" a="1"/>
  <c r="N187" i="1"/>
  <c r="M187" i="1"/>
  <c r="O186" i="1"/>
  <c r="O186" i="1" a="1"/>
  <c r="N186" i="1"/>
  <c r="M186" i="1"/>
  <c r="O185" i="1"/>
  <c r="O185" i="1" a="1"/>
  <c r="N185" i="1"/>
  <c r="M185" i="1"/>
  <c r="O184" i="1"/>
  <c r="O184" i="1" a="1"/>
  <c r="N184" i="1"/>
  <c r="M184" i="1"/>
  <c r="O183" i="1"/>
  <c r="O183" i="1" a="1"/>
  <c r="N183" i="1"/>
  <c r="M183" i="1"/>
  <c r="O182" i="1"/>
  <c r="O182" i="1" a="1"/>
  <c r="N182" i="1"/>
  <c r="M182" i="1"/>
  <c r="O181" i="1"/>
  <c r="O181" i="1" a="1"/>
  <c r="N181" i="1"/>
  <c r="M181" i="1"/>
  <c r="O180" i="1"/>
  <c r="O180" i="1" a="1"/>
  <c r="N180" i="1"/>
  <c r="M180" i="1"/>
  <c r="O179" i="1"/>
  <c r="O179" i="1" a="1"/>
  <c r="N179" i="1"/>
  <c r="M179" i="1"/>
  <c r="O178" i="1"/>
  <c r="O178" i="1" a="1"/>
  <c r="N178" i="1"/>
  <c r="M178" i="1"/>
  <c r="O177" i="1"/>
  <c r="O177" i="1" a="1"/>
  <c r="N177" i="1"/>
  <c r="M177" i="1"/>
  <c r="O176" i="1"/>
  <c r="O176" i="1" a="1"/>
  <c r="N176" i="1"/>
  <c r="M176" i="1"/>
  <c r="O175" i="1"/>
  <c r="O175" i="1" a="1"/>
  <c r="N175" i="1"/>
  <c r="M175" i="1"/>
  <c r="O174" i="1"/>
  <c r="O174" i="1" a="1"/>
  <c r="N174" i="1"/>
  <c r="M174" i="1"/>
  <c r="O173" i="1"/>
  <c r="O173" i="1" a="1"/>
  <c r="N173" i="1"/>
  <c r="M173" i="1"/>
  <c r="O172" i="1"/>
  <c r="O172" i="1" a="1"/>
  <c r="N172" i="1"/>
  <c r="M172" i="1"/>
  <c r="O171" i="1"/>
  <c r="O171" i="1" a="1"/>
  <c r="N171" i="1"/>
  <c r="M171" i="1"/>
  <c r="O170" i="1"/>
  <c r="O170" i="1" a="1"/>
  <c r="N170" i="1"/>
  <c r="M170" i="1"/>
  <c r="O169" i="1"/>
  <c r="O169" i="1" a="1"/>
  <c r="N169" i="1"/>
  <c r="M169" i="1"/>
  <c r="O168" i="1"/>
  <c r="O168" i="1" a="1"/>
  <c r="N168" i="1"/>
  <c r="M168" i="1"/>
  <c r="O167" i="1"/>
  <c r="O167" i="1" a="1"/>
  <c r="N167" i="1"/>
  <c r="M167" i="1"/>
  <c r="O166" i="1"/>
  <c r="O166" i="1" a="1"/>
  <c r="N166" i="1"/>
  <c r="M166" i="1"/>
  <c r="O165" i="1"/>
  <c r="O165" i="1" a="1"/>
  <c r="N165" i="1"/>
  <c r="M165" i="1"/>
  <c r="O164" i="1"/>
  <c r="O164" i="1" a="1"/>
  <c r="N164" i="1"/>
  <c r="M164" i="1"/>
  <c r="O163" i="1"/>
  <c r="O163" i="1" a="1"/>
  <c r="N163" i="1"/>
  <c r="M163" i="1"/>
  <c r="O162" i="1"/>
  <c r="O162" i="1" a="1"/>
  <c r="N162" i="1"/>
  <c r="M162" i="1"/>
  <c r="O161" i="1"/>
  <c r="O161" i="1" a="1"/>
  <c r="N161" i="1"/>
  <c r="M161" i="1"/>
  <c r="O160" i="1"/>
  <c r="O160" i="1" a="1"/>
  <c r="N160" i="1"/>
  <c r="M160" i="1"/>
  <c r="O159" i="1"/>
  <c r="O159" i="1" a="1"/>
  <c r="N159" i="1"/>
  <c r="M159" i="1"/>
  <c r="O158" i="1"/>
  <c r="O158" i="1" a="1"/>
  <c r="N158" i="1"/>
  <c r="M158" i="1"/>
  <c r="O157" i="1"/>
  <c r="O157" i="1" a="1"/>
  <c r="N157" i="1"/>
  <c r="M157" i="1"/>
  <c r="O156" i="1"/>
  <c r="O156" i="1" a="1"/>
  <c r="N156" i="1"/>
  <c r="M156" i="1"/>
  <c r="O155" i="1"/>
  <c r="O155" i="1" a="1"/>
  <c r="N155" i="1"/>
  <c r="M155" i="1"/>
  <c r="O154" i="1"/>
  <c r="O154" i="1" a="1"/>
  <c r="N154" i="1"/>
  <c r="M154" i="1"/>
  <c r="O153" i="1"/>
  <c r="O153" i="1" a="1"/>
  <c r="N153" i="1"/>
  <c r="M153" i="1"/>
  <c r="O152" i="1"/>
  <c r="O152" i="1" a="1"/>
  <c r="N152" i="1"/>
  <c r="M152" i="1"/>
  <c r="O151" i="1"/>
  <c r="O151" i="1" a="1"/>
  <c r="N151" i="1"/>
  <c r="M151" i="1"/>
  <c r="O150" i="1"/>
  <c r="O150" i="1" a="1"/>
  <c r="N150" i="1"/>
  <c r="M150" i="1"/>
  <c r="O149" i="1"/>
  <c r="O149" i="1" a="1"/>
  <c r="N149" i="1"/>
  <c r="M149" i="1"/>
  <c r="O148" i="1"/>
  <c r="O148" i="1" a="1"/>
  <c r="N148" i="1"/>
  <c r="M148" i="1"/>
  <c r="O147" i="1"/>
  <c r="O147" i="1" a="1"/>
  <c r="N147" i="1"/>
  <c r="M147" i="1"/>
  <c r="O146" i="1"/>
  <c r="O146" i="1" a="1"/>
  <c r="N146" i="1"/>
  <c r="M146" i="1"/>
  <c r="O145" i="1"/>
  <c r="O145" i="1" a="1"/>
  <c r="N145" i="1"/>
  <c r="M145" i="1"/>
  <c r="O144" i="1"/>
  <c r="O144" i="1" a="1"/>
  <c r="N144" i="1"/>
  <c r="M144" i="1"/>
  <c r="O143" i="1"/>
  <c r="O143" i="1" a="1"/>
  <c r="N143" i="1"/>
  <c r="M143" i="1"/>
  <c r="O142" i="1"/>
  <c r="O142" i="1" a="1"/>
  <c r="N142" i="1"/>
  <c r="M142" i="1"/>
  <c r="O141" i="1"/>
  <c r="O141" i="1" a="1"/>
  <c r="N141" i="1"/>
  <c r="M141" i="1"/>
  <c r="O140" i="1"/>
  <c r="O140" i="1" a="1"/>
  <c r="N140" i="1"/>
  <c r="M140" i="1"/>
  <c r="O139" i="1"/>
  <c r="O139" i="1" a="1"/>
  <c r="N139" i="1"/>
  <c r="M139" i="1"/>
  <c r="O138" i="1"/>
  <c r="O138" i="1" a="1"/>
  <c r="N138" i="1"/>
  <c r="M138" i="1"/>
  <c r="O137" i="1"/>
  <c r="O137" i="1" a="1"/>
  <c r="N137" i="1"/>
  <c r="M137" i="1"/>
  <c r="O136" i="1"/>
  <c r="O136" i="1" a="1"/>
  <c r="N136" i="1"/>
  <c r="M136" i="1"/>
  <c r="O135" i="1"/>
  <c r="O135" i="1" a="1"/>
  <c r="N135" i="1"/>
  <c r="M135" i="1"/>
  <c r="O134" i="1"/>
  <c r="O134" i="1" a="1"/>
  <c r="N134" i="1"/>
  <c r="M134" i="1"/>
  <c r="O133" i="1"/>
  <c r="O133" i="1" a="1"/>
  <c r="N133" i="1"/>
  <c r="M133" i="1"/>
  <c r="O132" i="1"/>
  <c r="O132" i="1" a="1"/>
  <c r="N132" i="1"/>
  <c r="M132" i="1"/>
  <c r="O131" i="1"/>
  <c r="O131" i="1" a="1"/>
  <c r="N131" i="1"/>
  <c r="M131" i="1"/>
  <c r="O130" i="1"/>
  <c r="O130" i="1" a="1"/>
  <c r="N130" i="1"/>
  <c r="M130" i="1"/>
  <c r="O129" i="1"/>
  <c r="O129" i="1" a="1"/>
  <c r="N129" i="1"/>
  <c r="M129" i="1"/>
  <c r="O128" i="1"/>
  <c r="O128" i="1" a="1"/>
  <c r="N128" i="1"/>
  <c r="M128" i="1"/>
  <c r="O127" i="1"/>
  <c r="O127" i="1" a="1"/>
  <c r="N127" i="1"/>
  <c r="M127" i="1"/>
  <c r="O126" i="1"/>
  <c r="O126" i="1" a="1"/>
  <c r="N126" i="1"/>
  <c r="M126" i="1"/>
  <c r="O125" i="1"/>
  <c r="O125" i="1" a="1"/>
  <c r="N125" i="1"/>
  <c r="M125" i="1"/>
  <c r="O124" i="1"/>
  <c r="O124" i="1" a="1"/>
  <c r="N124" i="1"/>
  <c r="M124" i="1"/>
  <c r="O123" i="1"/>
  <c r="O123" i="1" a="1"/>
  <c r="N123" i="1"/>
  <c r="M123" i="1"/>
  <c r="O122" i="1"/>
  <c r="O122" i="1" a="1"/>
  <c r="N122" i="1"/>
  <c r="M122" i="1"/>
  <c r="O121" i="1"/>
  <c r="O121" i="1" a="1"/>
  <c r="N121" i="1"/>
  <c r="M121" i="1"/>
  <c r="O120" i="1"/>
  <c r="O120" i="1" a="1"/>
  <c r="N120" i="1"/>
  <c r="M120" i="1"/>
  <c r="O119" i="1"/>
  <c r="O119" i="1" a="1"/>
  <c r="N119" i="1"/>
  <c r="M119" i="1"/>
  <c r="O118" i="1"/>
  <c r="O118" i="1" a="1"/>
  <c r="N118" i="1"/>
  <c r="M118" i="1"/>
  <c r="O117" i="1"/>
  <c r="O117" i="1" a="1"/>
  <c r="N117" i="1"/>
  <c r="M117" i="1"/>
  <c r="O116" i="1"/>
  <c r="O116" i="1" a="1"/>
  <c r="N116" i="1"/>
  <c r="M116" i="1"/>
  <c r="O115" i="1"/>
  <c r="O115" i="1" a="1"/>
  <c r="N115" i="1"/>
  <c r="M115" i="1"/>
  <c r="O114" i="1"/>
  <c r="O114" i="1" a="1"/>
  <c r="N114" i="1"/>
  <c r="M114" i="1"/>
  <c r="O113" i="1"/>
  <c r="O113" i="1" a="1"/>
  <c r="N113" i="1"/>
  <c r="M113" i="1"/>
  <c r="O112" i="1"/>
  <c r="O112" i="1" a="1"/>
  <c r="N112" i="1"/>
  <c r="M112" i="1"/>
  <c r="O111" i="1"/>
  <c r="O111" i="1" a="1"/>
  <c r="N111" i="1"/>
  <c r="M111" i="1"/>
  <c r="O110" i="1"/>
  <c r="O110" i="1" a="1"/>
  <c r="N110" i="1"/>
  <c r="M110" i="1"/>
  <c r="O109" i="1"/>
  <c r="O109" i="1" a="1"/>
  <c r="N109" i="1"/>
  <c r="M109" i="1"/>
  <c r="O108" i="1"/>
  <c r="O108" i="1" a="1"/>
  <c r="N108" i="1"/>
  <c r="M108" i="1"/>
  <c r="O107" i="1"/>
  <c r="O107" i="1" a="1"/>
  <c r="N107" i="1"/>
  <c r="M107" i="1"/>
  <c r="O106" i="1"/>
  <c r="O106" i="1" a="1"/>
  <c r="N106" i="1"/>
  <c r="M106" i="1"/>
  <c r="O105" i="1"/>
  <c r="O105" i="1" a="1"/>
  <c r="N105" i="1"/>
  <c r="M105" i="1"/>
  <c r="O104" i="1"/>
  <c r="O104" i="1" a="1"/>
  <c r="N104" i="1"/>
  <c r="M104" i="1"/>
  <c r="O103" i="1"/>
  <c r="O103" i="1" a="1"/>
  <c r="N103" i="1"/>
  <c r="M103" i="1"/>
  <c r="O102" i="1"/>
  <c r="O102" i="1" a="1"/>
  <c r="N102" i="1"/>
  <c r="M102" i="1"/>
  <c r="O101" i="1"/>
  <c r="O101" i="1" a="1"/>
  <c r="N101" i="1"/>
  <c r="M101" i="1"/>
  <c r="O100" i="1"/>
  <c r="O100" i="1" a="1"/>
  <c r="N100" i="1"/>
  <c r="M100" i="1"/>
  <c r="O99" i="1"/>
  <c r="O99" i="1" a="1"/>
  <c r="N99" i="1"/>
  <c r="M99" i="1"/>
  <c r="O98" i="1"/>
  <c r="O98" i="1" a="1"/>
  <c r="N98" i="1"/>
  <c r="M98" i="1"/>
  <c r="O97" i="1"/>
  <c r="O97" i="1" a="1"/>
  <c r="N97" i="1"/>
  <c r="M97" i="1"/>
  <c r="O96" i="1"/>
  <c r="O96" i="1" a="1"/>
  <c r="N96" i="1"/>
  <c r="M96" i="1"/>
  <c r="O95" i="1"/>
  <c r="O95" i="1" a="1"/>
  <c r="N95" i="1"/>
  <c r="M95" i="1"/>
  <c r="O94" i="1"/>
  <c r="O94" i="1" a="1"/>
  <c r="N94" i="1"/>
  <c r="M94" i="1"/>
  <c r="O93" i="1"/>
  <c r="O93" i="1" a="1"/>
  <c r="N93" i="1"/>
  <c r="M93" i="1"/>
  <c r="O92" i="1"/>
  <c r="O92" i="1" a="1"/>
  <c r="N92" i="1"/>
  <c r="M92" i="1"/>
  <c r="O91" i="1"/>
  <c r="O91" i="1" a="1"/>
  <c r="N91" i="1"/>
  <c r="M91" i="1"/>
  <c r="O90" i="1"/>
  <c r="O90" i="1" a="1"/>
  <c r="N90" i="1"/>
  <c r="M90" i="1"/>
  <c r="O89" i="1"/>
  <c r="O89" i="1" a="1"/>
  <c r="N89" i="1"/>
  <c r="M89" i="1"/>
  <c r="O88" i="1"/>
  <c r="O88" i="1" a="1"/>
  <c r="N88" i="1"/>
  <c r="M88" i="1"/>
  <c r="O87" i="1"/>
  <c r="O87" i="1" a="1"/>
  <c r="N87" i="1"/>
  <c r="M87" i="1"/>
  <c r="O86" i="1"/>
  <c r="O86" i="1" a="1"/>
  <c r="N86" i="1"/>
  <c r="M86" i="1"/>
  <c r="O85" i="1"/>
  <c r="O85" i="1" a="1"/>
  <c r="N85" i="1"/>
  <c r="M85" i="1"/>
  <c r="O84" i="1"/>
  <c r="O84" i="1" a="1"/>
  <c r="N84" i="1"/>
  <c r="M84" i="1"/>
  <c r="O83" i="1"/>
  <c r="O83" i="1" a="1"/>
  <c r="N83" i="1"/>
  <c r="M83" i="1"/>
  <c r="O82" i="1"/>
  <c r="O82" i="1" a="1"/>
  <c r="N82" i="1"/>
  <c r="M82" i="1"/>
  <c r="O81" i="1"/>
  <c r="O81" i="1" a="1"/>
  <c r="N81" i="1"/>
  <c r="M81" i="1"/>
  <c r="O80" i="1"/>
  <c r="O80" i="1" a="1"/>
  <c r="N80" i="1"/>
  <c r="M80" i="1"/>
  <c r="O79" i="1"/>
  <c r="O79" i="1" a="1"/>
  <c r="N79" i="1"/>
  <c r="M79" i="1"/>
  <c r="O78" i="1"/>
  <c r="O78" i="1" a="1"/>
  <c r="N78" i="1"/>
  <c r="M78" i="1"/>
  <c r="O77" i="1"/>
  <c r="O77" i="1" a="1"/>
  <c r="N77" i="1"/>
  <c r="M77" i="1"/>
  <c r="O76" i="1"/>
  <c r="O76" i="1" a="1"/>
  <c r="N76" i="1"/>
  <c r="M76" i="1"/>
  <c r="O75" i="1"/>
  <c r="O75" i="1" a="1"/>
  <c r="N75" i="1"/>
  <c r="M75" i="1"/>
  <c r="O74" i="1"/>
  <c r="O74" i="1" a="1"/>
  <c r="N74" i="1"/>
  <c r="M74" i="1"/>
  <c r="O73" i="1"/>
  <c r="O73" i="1" a="1"/>
  <c r="N73" i="1"/>
  <c r="M73" i="1"/>
  <c r="O72" i="1"/>
  <c r="O72" i="1" a="1"/>
  <c r="N72" i="1"/>
  <c r="M72" i="1"/>
  <c r="O71" i="1"/>
  <c r="O71" i="1" a="1"/>
  <c r="N71" i="1"/>
  <c r="M71" i="1"/>
  <c r="O70" i="1"/>
  <c r="O70" i="1" a="1"/>
  <c r="N70" i="1"/>
  <c r="M70" i="1"/>
  <c r="O69" i="1"/>
  <c r="O69" i="1" a="1"/>
  <c r="N69" i="1"/>
  <c r="M69" i="1"/>
  <c r="O68" i="1"/>
  <c r="O68" i="1" a="1"/>
  <c r="N68" i="1"/>
  <c r="M68" i="1"/>
  <c r="O67" i="1"/>
  <c r="O67" i="1" a="1"/>
  <c r="N67" i="1"/>
  <c r="M67" i="1"/>
  <c r="O66" i="1"/>
  <c r="O66" i="1" a="1"/>
  <c r="N66" i="1"/>
  <c r="M66" i="1"/>
  <c r="O65" i="1"/>
  <c r="O65" i="1" a="1"/>
  <c r="N65" i="1"/>
  <c r="M65" i="1"/>
  <c r="O64" i="1"/>
  <c r="O64" i="1" a="1"/>
  <c r="N64" i="1"/>
  <c r="M64" i="1"/>
  <c r="O63" i="1"/>
  <c r="O63" i="1" a="1"/>
  <c r="N63" i="1"/>
  <c r="M63" i="1"/>
  <c r="O62" i="1"/>
  <c r="O62" i="1" a="1"/>
  <c r="N62" i="1"/>
  <c r="M62" i="1"/>
  <c r="O61" i="1"/>
  <c r="O61" i="1" a="1"/>
  <c r="N61" i="1"/>
  <c r="M61" i="1"/>
  <c r="O60" i="1"/>
  <c r="O60" i="1" a="1"/>
  <c r="N60" i="1"/>
  <c r="M60" i="1"/>
  <c r="O59" i="1"/>
  <c r="O59" i="1" a="1"/>
  <c r="N59" i="1"/>
  <c r="M59" i="1"/>
  <c r="O58" i="1"/>
  <c r="O58" i="1" a="1"/>
  <c r="N58" i="1"/>
  <c r="M58" i="1"/>
  <c r="O57" i="1"/>
  <c r="O57" i="1" a="1"/>
  <c r="N57" i="1"/>
  <c r="M57" i="1"/>
  <c r="O56" i="1"/>
  <c r="O56" i="1" a="1"/>
  <c r="N56" i="1"/>
  <c r="M56" i="1"/>
  <c r="O55" i="1"/>
  <c r="O55" i="1" a="1"/>
  <c r="N55" i="1"/>
  <c r="M55" i="1"/>
  <c r="O54" i="1"/>
  <c r="O54" i="1" a="1"/>
  <c r="N54" i="1"/>
  <c r="M54" i="1"/>
  <c r="O53" i="1"/>
  <c r="O53" i="1" a="1"/>
  <c r="N53" i="1"/>
  <c r="M53" i="1"/>
  <c r="O52" i="1"/>
  <c r="O52" i="1" a="1"/>
  <c r="N52" i="1"/>
  <c r="M52" i="1"/>
  <c r="O51" i="1"/>
  <c r="O51" i="1" a="1"/>
  <c r="N51" i="1"/>
  <c r="M51" i="1"/>
  <c r="O50" i="1"/>
  <c r="O50" i="1" a="1"/>
  <c r="N50" i="1"/>
  <c r="M50" i="1"/>
  <c r="O49" i="1"/>
  <c r="O49" i="1" a="1"/>
  <c r="N49" i="1"/>
  <c r="M49" i="1"/>
  <c r="O48" i="1"/>
  <c r="O48" i="1" a="1"/>
  <c r="N48" i="1"/>
  <c r="M48" i="1"/>
  <c r="O47" i="1"/>
  <c r="O47" i="1" a="1"/>
  <c r="N47" i="1"/>
  <c r="M47" i="1"/>
  <c r="O46" i="1"/>
  <c r="O46" i="1" a="1"/>
  <c r="N46" i="1"/>
  <c r="M46" i="1"/>
  <c r="O45" i="1"/>
  <c r="O45" i="1" a="1"/>
  <c r="N45" i="1"/>
  <c r="M45" i="1"/>
  <c r="O44" i="1"/>
  <c r="O44" i="1" a="1"/>
  <c r="N44" i="1"/>
  <c r="M44" i="1"/>
  <c r="O43" i="1"/>
  <c r="O43" i="1" a="1"/>
  <c r="N43" i="1"/>
  <c r="M43" i="1"/>
  <c r="O42" i="1"/>
  <c r="O42" i="1" a="1"/>
  <c r="N42" i="1"/>
  <c r="M42" i="1"/>
  <c r="O41" i="1"/>
  <c r="O41" i="1" a="1"/>
  <c r="N41" i="1"/>
  <c r="M41" i="1"/>
  <c r="O40" i="1"/>
  <c r="O40" i="1" a="1"/>
  <c r="N40" i="1"/>
  <c r="M40" i="1"/>
  <c r="O39" i="1"/>
  <c r="O39" i="1" a="1"/>
  <c r="N39" i="1"/>
  <c r="M39" i="1"/>
  <c r="O38" i="1"/>
  <c r="O38" i="1" a="1"/>
  <c r="N38" i="1"/>
  <c r="M38" i="1"/>
  <c r="O37" i="1"/>
  <c r="O37" i="1" a="1"/>
  <c r="N37" i="1"/>
  <c r="M37" i="1"/>
  <c r="O36" i="1"/>
  <c r="O36" i="1" a="1"/>
  <c r="N36" i="1"/>
  <c r="M36" i="1"/>
  <c r="O35" i="1"/>
  <c r="O35" i="1" a="1"/>
  <c r="N35" i="1"/>
  <c r="M35" i="1"/>
  <c r="O34" i="1"/>
  <c r="O34" i="1" a="1"/>
  <c r="N34" i="1"/>
  <c r="M34" i="1"/>
  <c r="O33" i="1"/>
  <c r="O33" i="1" a="1"/>
  <c r="N33" i="1"/>
  <c r="M33" i="1"/>
  <c r="O32" i="1"/>
  <c r="O32" i="1" a="1"/>
  <c r="N32" i="1"/>
  <c r="M32" i="1"/>
  <c r="O31" i="1"/>
  <c r="O31" i="1" a="1"/>
  <c r="N31" i="1"/>
  <c r="M31" i="1"/>
  <c r="O30" i="1"/>
  <c r="O30" i="1" a="1"/>
  <c r="N30" i="1"/>
  <c r="M30" i="1"/>
  <c r="O29" i="1"/>
  <c r="O29" i="1" a="1"/>
  <c r="N29" i="1"/>
  <c r="M29" i="1"/>
  <c r="O28" i="1"/>
  <c r="O28" i="1" a="1"/>
  <c r="N28" i="1"/>
  <c r="M28" i="1"/>
  <c r="O27" i="1"/>
  <c r="O27" i="1" a="1"/>
  <c r="N27" i="1"/>
  <c r="M27" i="1"/>
  <c r="O26" i="1"/>
  <c r="O26" i="1" a="1"/>
  <c r="N26" i="1"/>
  <c r="M26" i="1"/>
  <c r="O25" i="1"/>
  <c r="O25" i="1" a="1"/>
  <c r="N25" i="1"/>
  <c r="M25" i="1"/>
  <c r="O24" i="1"/>
  <c r="O24" i="1" a="1"/>
  <c r="N24" i="1"/>
  <c r="M24" i="1"/>
  <c r="O23" i="1"/>
  <c r="O23" i="1" a="1"/>
  <c r="N23" i="1"/>
  <c r="M23" i="1"/>
  <c r="O22" i="1"/>
  <c r="O22" i="1" a="1"/>
  <c r="N22" i="1"/>
  <c r="M22" i="1"/>
  <c r="O21" i="1"/>
  <c r="O21" i="1" a="1"/>
  <c r="N21" i="1"/>
  <c r="M21" i="1"/>
  <c r="O20" i="1"/>
  <c r="O20" i="1" a="1"/>
  <c r="N20" i="1"/>
  <c r="M20" i="1"/>
  <c r="O19" i="1"/>
  <c r="O19" i="1" a="1"/>
  <c r="N19" i="1"/>
  <c r="M19" i="1"/>
  <c r="O18" i="1"/>
  <c r="O18" i="1" a="1"/>
  <c r="N18" i="1"/>
  <c r="M18" i="1"/>
  <c r="O17" i="1"/>
  <c r="O17" i="1" a="1"/>
  <c r="N17" i="1"/>
  <c r="M17" i="1"/>
  <c r="O16" i="1"/>
  <c r="O16" i="1" a="1"/>
  <c r="N16" i="1"/>
  <c r="M16" i="1"/>
  <c r="O15" i="1"/>
  <c r="O15" i="1" a="1"/>
  <c r="N15" i="1"/>
  <c r="M15" i="1"/>
  <c r="O14" i="1"/>
  <c r="O14" i="1" a="1"/>
  <c r="N14" i="1"/>
  <c r="M14" i="1"/>
  <c r="O13" i="1"/>
  <c r="O13" i="1" a="1"/>
  <c r="N13" i="1"/>
  <c r="M13" i="1"/>
  <c r="O12" i="1"/>
  <c r="O12" i="1" a="1"/>
  <c r="N12" i="1"/>
  <c r="M12" i="1"/>
  <c r="O11" i="1"/>
  <c r="O11" i="1" a="1"/>
  <c r="N11" i="1"/>
  <c r="M11" i="1"/>
  <c r="O10" i="1"/>
  <c r="O10" i="1" a="1"/>
  <c r="N10" i="1"/>
  <c r="M10" i="1"/>
  <c r="O9" i="1"/>
  <c r="O9" i="1" a="1"/>
  <c r="N9" i="1"/>
  <c r="M9" i="1"/>
  <c r="O8" i="1"/>
  <c r="O8" i="1" a="1"/>
  <c r="N8" i="1"/>
  <c r="M8" i="1"/>
  <c r="O7" i="1"/>
  <c r="O7" i="1" a="1"/>
  <c r="N7" i="1"/>
  <c r="M7" i="1"/>
  <c r="O6" i="1"/>
  <c r="O6" i="1" a="1"/>
  <c r="N6" i="1"/>
  <c r="M6" i="1"/>
  <c r="O5" i="1"/>
  <c r="O5" i="1" a="1"/>
  <c r="N5" i="1"/>
  <c r="M5" i="1"/>
  <c r="O4" i="1"/>
  <c r="O4" i="1" a="1"/>
  <c r="N4" i="1"/>
  <c r="M4" i="1"/>
  <c r="O3" i="1"/>
  <c r="O3" i="1" a="1"/>
  <c r="N3" i="1"/>
  <c r="M3" i="1"/>
  <c r="O2" i="1"/>
  <c r="O2" i="1" a="1"/>
  <c r="N2" i="1"/>
  <c r="M2" i="1"/>
  <c r="L9" i="7"/>
  <c r="K9" i="7"/>
  <c r="J9" i="7"/>
  <c r="I9" i="7"/>
  <c r="H9" i="7"/>
  <c r="L8" i="7"/>
  <c r="K8" i="7"/>
  <c r="J8" i="7"/>
  <c r="I8" i="7"/>
  <c r="H8" i="7"/>
  <c r="L7" i="7"/>
  <c r="K7" i="7"/>
  <c r="J7" i="7"/>
  <c r="I7" i="7"/>
  <c r="H7" i="7"/>
  <c r="L6" i="7"/>
  <c r="K6" i="7"/>
  <c r="J6" i="7"/>
  <c r="I6" i="7"/>
  <c r="H6" i="7"/>
  <c r="L5" i="7"/>
  <c r="K5" i="7"/>
  <c r="J5" i="7"/>
  <c r="I5" i="7"/>
  <c r="H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<sst xmlns="http://schemas.openxmlformats.org/spreadsheetml/2006/main" count="14864" uniqueCount="2543">
  <si>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</si>
  <si>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</si>
  <si>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</si>
  <si>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</si>
  <si>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</si>
  <si>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</si>
  <si>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</si>
  <si>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</si>
  <si>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</si>
  <si>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</si>
  <si>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</si>
  <si>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</si>
  <si>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</si>
  <si>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</si>
  <si>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</si>
  <si>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</si>
  <si>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</si>
  <si>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</si>
  <si>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</si>
  <si>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</si>
  <si>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</si>
  <si>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</si>
  <si>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</si>
  <si>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</si>
  <si>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</si>
  <si>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</si>
  <si>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</si>
  <si>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</si>
  <si>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</si>
  <si>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</si>
  <si>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</si>
  <si>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</si>
  <si>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</si>
  <si>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</si>
  <si>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</si>
  <si>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</si>
  <si>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</si>
  <si>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</si>
  <si>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</si>
  <si>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</si>
  <si>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</si>
  <si>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</si>
  <si>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</si>
  <si>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</si>
  <si>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</si>
  <si>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</si>
  <si>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</si>
  <si>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</si>
  <si>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</si>
  <si>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</si>
  <si>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</si>
  <si>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</si>
  <si>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</si>
  <si>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</si>
  <si>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</si>
  <si>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</si>
  <si>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</si>
  <si>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</si>
  <si>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</si>
  <si>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</si>
  <si>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</si>
  <si>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</si>
  <si>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</si>
  <si>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</si>
  <si>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</si>
  <si>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</si>
  <si>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</si>
  <si>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</si>
  <si>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</si>
  <si>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</si>
  <si>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</si>
  <si>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</si>
  <si>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</si>
  <si>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</si>
  <si>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</si>
  <si>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</si>
  <si>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</si>
  <si>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</si>
  <si>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</si>
  <si>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</si>
  <si>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</si>
  <si>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</si>
  <si>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</si>
  <si>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</si>
  <si>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</si>
  <si>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</si>
  <si>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</si>
  <si>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</si>
  <si>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</si>
  <si>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</si>
  <si>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</si>
  <si>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</si>
  <si>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</si>
  <si>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</si>
  <si>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</si>
  <si>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</si>
  <si>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</si>
  <si>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</si>
  <si>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</si>
  <si>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</si>
  <si>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</si>
  <si>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</si>
  <si>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</si>
  <si>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</si>
  <si>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</si>
  <si>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</si>
  <si>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</si>
  <si>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</si>
  <si>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</si>
  <si>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</si>
  <si>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</si>
  <si>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</si>
  <si>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</si>
  <si>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</si>
  <si>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</si>
  <si>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</si>
  <si>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</si>
  <si>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</si>
  <si>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</si>
  <si>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</si>
  <si>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</si>
  <si>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</si>
  <si>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</si>
  <si>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</si>
  <si>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</si>
  <si>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</si>
  <si>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</si>
  <si>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</si>
  <si>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</si>
  <si>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</si>
  <si>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</si>
  <si>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</si>
  <si>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</si>
  <si>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</si>
  <si>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</si>
  <si>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</si>
  <si>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</si>
  <si>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</si>
  <si>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</si>
  <si>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</si>
  <si>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</si>
  <si>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</si>
  <si>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</si>
  <si>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</si>
  <si>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</si>
  <si>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</si>
  <si>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</si>
  <si>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</si>
  <si>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</si>
  <si>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</si>
  <si>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</si>
  <si>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</si>
  <si>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</si>
  <si>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</si>
  <si>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</si>
  <si>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</si>
  <si>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</si>
  <si>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</si>
  <si>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</si>
  <si>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</si>
  <si>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</si>
  <si>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</si>
  <si>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</si>
  <si>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</si>
  <si>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</si>
  <si>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</si>
  <si>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</si>
  <si>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</si>
  <si>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</si>
  <si>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</si>
  <si>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</si>
  <si>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</si>
  <si>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</si>
  <si>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</si>
  <si>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</si>
  <si>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</si>
  <si>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</si>
  <si>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</si>
  <si>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</si>
  <si>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</si>
  <si>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</si>
  <si>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</si>
  <si>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</si>
  <si>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</si>
  <si>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</si>
  <si>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</si>
  <si>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</si>
  <si>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</si>
  <si>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</si>
  <si>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</si>
  <si>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</si>
  <si>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</si>
  <si>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</si>
  <si>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</si>
  <si>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</si>
  <si>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</si>
  <si>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</si>
  <si>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</si>
  <si>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</si>
  <si>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</si>
  <si>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</si>
  <si>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</si>
  <si>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</si>
  <si>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</si>
  <si>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</si>
  <si>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</si>
  <si>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</si>
  <si>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</si>
  <si>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</si>
  <si>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</si>
  <si>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</si>
  <si>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</si>
  <si>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</si>
  <si>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</si>
  <si>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</si>
  <si>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</si>
  <si>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</si>
  <si>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</si>
  <si>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</si>
  <si>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</si>
  <si>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</si>
  <si>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</si>
  <si>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</si>
  <si>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</si>
  <si>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</si>
  <si>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</si>
  <si>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</si>
  <si>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</si>
  <si>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</si>
  <si>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</si>
  <si>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</si>
  <si>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</si>
  <si>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</si>
  <si>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</si>
  <si>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</si>
  <si>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</si>
  <si>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</si>
  <si>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</si>
  <si>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</si>
  <si>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</si>
  <si>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</si>
  <si>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</si>
  <si>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</si>
  <si>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</si>
  <si>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</si>
  <si>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</si>
  <si>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</si>
  <si>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</si>
  <si>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</si>
  <si>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</si>
  <si>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</si>
  <si>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</si>
  <si>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</si>
  <si>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</si>
  <si>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</si>
  <si>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</si>
  <si>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</si>
  <si>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</si>
  <si>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</si>
  <si>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</si>
  <si>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</si>
  <si>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</si>
  <si>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</si>
  <si>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</si>
  <si>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</si>
  <si>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</si>
  <si>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</si>
  <si>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</si>
  <si>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</si>
  <si>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</si>
  <si>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</si>
  <si>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</si>
  <si>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</si>
  <si>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</si>
  <si>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</si>
  <si>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</si>
  <si>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</si>
  <si>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</si>
  <si>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</si>
  <si>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</si>
  <si>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</si>
  <si>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</si>
  <si>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</si>
  <si>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</si>
  <si>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</si>
  <si>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</si>
  <si>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</si>
  <si>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</si>
  <si>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</si>
  <si>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</si>
  <si>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</si>
  <si>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</si>
  <si>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</si>
  <si>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</si>
  <si>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</si>
  <si>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</si>
  <si>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</si>
  <si>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</si>
  <si>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</si>
  <si>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</si>
  <si>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</si>
  <si>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</si>
  <si>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</si>
  <si>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</si>
  <si>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</si>
  <si>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</si>
  <si>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</si>
  <si>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</si>
  <si>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</si>
  <si>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</si>
  <si>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</si>
  <si>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</si>
  <si>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</si>
  <si>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</si>
  <si>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</si>
  <si>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</si>
  <si>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</si>
  <si>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</si>
  <si>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</si>
  <si>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</si>
  <si>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</si>
  <si>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</si>
  <si>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</si>
  <si>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</si>
  <si>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</si>
  <si>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</si>
  <si>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</si>
  <si>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</si>
  <si>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</si>
  <si>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</si>
  <si>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</si>
  <si>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</si>
  <si>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</si>
  <si>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</si>
  <si>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</si>
  <si>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</si>
  <si>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</si>
  <si>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</si>
  <si>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</si>
  <si>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</si>
  <si>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</si>
  <si>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</si>
  <si>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</si>
  <si>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</si>
  <si>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</si>
  <si>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</si>
  <si>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</si>
  <si>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</si>
  <si>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</si>
  <si>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</si>
  <si>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</si>
  <si>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</si>
  <si>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</si>
  <si>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</si>
  <si>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</si>
  <si>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</si>
  <si>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</si>
  <si>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</si>
  <si>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</si>
  <si>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</si>
  <si>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</si>
  <si>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</si>
  <si>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</si>
  <si>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</si>
  <si>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</si>
  <si>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</si>
  <si>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</si>
  <si>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</si>
  <si>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</si>
  <si>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</si>
  <si>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</si>
  <si>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</si>
  <si>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</si>
  <si>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</si>
  <si>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</si>
  <si>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</si>
  <si>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</si>
  <si>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</si>
  <si>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</si>
  <si>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</si>
  <si>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</si>
  <si>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</si>
  <si>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</si>
  <si>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</si>
  <si>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</si>
  <si>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</si>
  <si>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</si>
  <si>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</si>
  <si>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</si>
  <si>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</si>
  <si>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</si>
  <si>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</si>
  <si>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</si>
  <si>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</si>
  <si>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</si>
  <si>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</si>
  <si>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</si>
  <si>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</si>
  <si>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</si>
  <si>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</si>
  <si>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</si>
  <si>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</si>
  <si>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</si>
  <si>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</si>
  <si>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</si>
  <si>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</si>
  <si>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</si>
  <si>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</si>
  <si>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</si>
  <si>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</si>
  <si>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</si>
  <si>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</si>
  <si>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</si>
  <si>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</si>
  <si>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</si>
  <si>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</si>
  <si>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</si>
  <si>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</si>
  <si>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</si>
  <si>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</si>
  <si>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</si>
  <si>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</si>
  <si>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</si>
  <si>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</si>
  <si>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</si>
  <si>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</si>
  <si>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</si>
  <si>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</si>
  <si>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</si>
  <si>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</si>
  <si>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</si>
  <si>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</si>
  <si>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</si>
  <si>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</si>
  <si>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</si>
  <si>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</si>
  <si>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</si>
  <si>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</si>
  <si>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</si>
  <si>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</si>
  <si>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</si>
  <si>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</si>
  <si>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</si>
  <si>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</si>
  <si>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</si>
  <si>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</si>
  <si>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</si>
  <si>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</si>
  <si>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</si>
  <si>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</si>
  <si>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</si>
  <si>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</si>
  <si>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</si>
  <si>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</si>
  <si>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</si>
  <si>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</si>
  <si>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</si>
  <si>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</si>
  <si>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</si>
  <si>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</si>
  <si>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</si>
  <si>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</si>
  <si>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</si>
  <si>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</si>
  <si>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</si>
  <si>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</si>
  <si>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</si>
  <si>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</si>
  <si>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</si>
  <si>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</si>
  <si>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</si>
  <si>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</si>
  <si>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</si>
  <si>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</si>
  <si>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</si>
  <si>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</si>
  <si>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</si>
  <si>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</si>
  <si>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</si>
  <si>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</si>
  <si>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</si>
  <si>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</si>
  <si>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</si>
  <si>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</si>
  <si>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</si>
  <si>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</si>
  <si>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</si>
  <si>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</si>
  <si>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</si>
  <si>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</si>
  <si>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</si>
  <si>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</si>
  <si>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</si>
  <si>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</si>
  <si>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</si>
  <si>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</si>
  <si>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</si>
  <si>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</si>
  <si>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</si>
  <si>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</si>
  <si>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</si>
  <si>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</si>
  <si>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</si>
  <si>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</si>
  <si>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</si>
  <si>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</si>
  <si>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</si>
  <si>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</si>
  <si>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</si>
  <si>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</si>
  <si>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</si>
  <si>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</si>
  <si>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</si>
  <si>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</si>
  <si>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</si>
  <si>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</si>
  <si>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</si>
  <si>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</si>
  <si>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</si>
  <si>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</si>
  <si>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</si>
  <si>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</si>
  <si>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</si>
  <si>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</si>
  <si>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</si>
  <si>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</si>
  <si>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</si>
  <si>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</si>
  <si>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</si>
  <si>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</si>
  <si>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</si>
  <si>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</si>
  <si>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</si>
  <si>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</si>
  <si>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</si>
  <si>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</si>
  <si>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</si>
  <si>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</si>
  <si>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</si>
  <si>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</si>
  <si>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</si>
  <si>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</si>
  <si>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</si>
  <si>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</si>
  <si>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</si>
  <si>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</si>
  <si>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</si>
  <si>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</si>
  <si>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</si>
  <si>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</si>
  <si>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</si>
  <si>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</si>
  <si>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</si>
  <si>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</si>
  <si>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</si>
  <si>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</si>
  <si>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</si>
  <si>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</si>
  <si>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</si>
  <si>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</si>
  <si>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</si>
  <si>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</si>
  <si>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</si>
  <si>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</si>
  <si>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</si>
  <si>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</si>
  <si>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</si>
  <si>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</si>
  <si>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</si>
  <si>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</si>
  <si>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</si>
  <si>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</si>
  <si>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</si>
  <si>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</si>
  <si>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</si>
  <si>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</si>
  <si>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</si>
  <si>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</si>
  <si>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</si>
  <si>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</si>
  <si>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</si>
  <si>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</si>
  <si>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</si>
  <si>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</si>
  <si>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</si>
  <si>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</si>
  <si>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</si>
  <si>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</si>
  <si>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</si>
  <si>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</si>
  <si>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</si>
  <si>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</si>
  <si>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</si>
  <si>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</si>
  <si>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</si>
  <si>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</si>
  <si>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</si>
  <si>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</si>
  <si>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</si>
  <si>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</si>
  <si>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</si>
  <si>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</si>
  <si>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</si>
  <si>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</si>
  <si>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</si>
  <si>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</si>
  <si>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</si>
  <si>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</si>
  <si>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</si>
  <si>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</si>
  <si>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</si>
  <si>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</si>
  <si>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</si>
  <si>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</si>
  <si>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</si>
  <si>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</si>
  <si>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</si>
  <si>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</si>
  <si>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</si>
  <si>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</si>
  <si>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</si>
  <si>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</si>
  <si>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</si>
  <si>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</si>
  <si>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</si>
  <si>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</si>
  <si>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</si>
  <si>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</si>
  <si>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</si>
  <si>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</si>
  <si>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</si>
  <si>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</si>
  <si>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</si>
  <si>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</si>
  <si>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</si>
  <si>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</si>
  <si>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</si>
  <si>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</si>
  <si>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</si>
  <si>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</si>
  <si>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</si>
  <si>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</si>
  <si>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</si>
  <si>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</si>
  <si>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</si>
  <si>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</si>
  <si>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</si>
  <si>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</si>
  <si>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</si>
  <si>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</si>
  <si>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</si>
  <si>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</si>
  <si>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</si>
  <si>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</si>
  <si>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</si>
  <si>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</si>
  <si>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</si>
  <si>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</si>
  <si>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</si>
  <si>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</si>
  <si>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</si>
  <si>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</si>
  <si>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</si>
  <si>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</si>
  <si>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</si>
  <si>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</si>
  <si>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</si>
  <si>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</si>
  <si>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</si>
  <si>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</si>
  <si>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</si>
  <si>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</si>
  <si>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</si>
  <si>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</si>
  <si>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</si>
  <si>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</si>
  <si>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</si>
  <si>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</si>
  <si>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</si>
  <si>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</si>
  <si>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</si>
  <si>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</si>
  <si>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</si>
  <si>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</si>
  <si>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</si>
  <si>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</si>
  <si>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</si>
  <si>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</si>
  <si>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</si>
  <si>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</si>
  <si>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</si>
  <si>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</si>
  <si>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</si>
  <si>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</si>
  <si>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</si>
  <si>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</si>
  <si>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</si>
  <si>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</si>
  <si>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</si>
  <si>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</si>
  <si>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</si>
  <si>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</si>
  <si>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</si>
  <si>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</si>
  <si>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</si>
  <si>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</si>
  <si>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</si>
  <si>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</si>
  <si>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</si>
  <si>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</si>
  <si>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</si>
  <si>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</si>
  <si>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</si>
  <si>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</si>
  <si>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</si>
  <si>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</si>
  <si>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</si>
  <si>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</si>
  <si>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</si>
  <si>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</si>
  <si>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</si>
  <si>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</si>
  <si>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</si>
  <si>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</si>
  <si>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</si>
  <si>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</si>
  <si>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</si>
  <si>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</si>
  <si>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</si>
  <si>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</si>
  <si>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</si>
  <si>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</si>
  <si>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</si>
  <si>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</si>
  <si>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</si>
  <si>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</si>
  <si>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</si>
  <si>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</si>
  <si>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</si>
  <si>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</si>
  <si>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</si>
  <si>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</si>
  <si>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</si>
  <si>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</si>
  <si>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</si>
  <si>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</si>
  <si>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</si>
  <si>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</si>
  <si>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</si>
  <si>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</si>
  <si>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</si>
  <si>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</si>
  <si>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</si>
  <si>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</si>
  <si>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</si>
  <si>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</si>
  <si>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</si>
  <si>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</si>
  <si>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</si>
  <si>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</si>
  <si>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</si>
  <si>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</si>
  <si>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</si>
  <si>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</si>
  <si>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</si>
  <si>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</si>
  <si>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</si>
  <si>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</si>
  <si>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</si>
  <si>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</si>
  <si>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</si>
  <si>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</si>
  <si>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</si>
  <si>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</si>
  <si>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</si>
  <si>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</si>
  <si>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</si>
  <si>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</si>
  <si>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</si>
  <si>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</si>
  <si>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</si>
  <si>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</si>
  <si>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</si>
  <si>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</si>
  <si>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</si>
  <si>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</si>
  <si>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</si>
  <si>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</si>
  <si>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</si>
  <si>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</si>
  <si>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</si>
  <si>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</si>
  <si>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</si>
  <si>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</si>
  <si>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</si>
  <si>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</si>
  <si>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</si>
  <si>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</si>
  <si>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</si>
  <si>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</si>
  <si>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</si>
  <si>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</si>
  <si>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</si>
  <si>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</si>
  <si>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</si>
  <si>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</si>
  <si>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</si>
  <si>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</si>
  <si>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</si>
  <si>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</si>
  <si>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</si>
  <si>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</si>
  <si>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</si>
  <si>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</si>
  <si>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</si>
  <si>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</si>
  <si>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</si>
  <si>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</si>
  <si>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</si>
  <si>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</si>
  <si>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</si>
  <si>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</si>
  <si>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</si>
  <si>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</si>
  <si>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</si>
  <si>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</si>
  <si>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</si>
  <si>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</si>
  <si>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</si>
  <si>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</si>
  <si>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</si>
  <si>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</si>
  <si>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</si>
  <si>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</si>
  <si>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</si>
  <si>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</si>
  <si>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</si>
  <si>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</si>
  <si>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</si>
  <si>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</si>
  <si>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</si>
  <si>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</si>
  <si>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</si>
  <si>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</si>
  <si>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</si>
  <si>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</si>
  <si>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</si>
  <si>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</si>
  <si>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</si>
  <si>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</si>
  <si>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</si>
  <si>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</si>
  <si>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</si>
  <si>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</si>
  <si>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</si>
  <si>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</si>
  <si>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</si>
  <si>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</si>
  <si>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</si>
  <si>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</si>
  <si>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</si>
  <si>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</si>
  <si>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</si>
  <si>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</si>
  <si>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</si>
  <si>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</si>
  <si>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</si>
  <si>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</si>
  <si>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</si>
  <si>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</si>
  <si>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</si>
  <si>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</si>
  <si>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</si>
  <si>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</si>
  <si>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</si>
  <si>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</si>
  <si>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</si>
  <si>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</si>
  <si>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</si>
  <si>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</si>
  <si>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</si>
  <si>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</si>
  <si>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</si>
  <si>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</si>
  <si>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</si>
  <si>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</si>
  <si>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</si>
  <si>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</si>
  <si>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</si>
  <si>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</si>
  <si>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</si>
  <si>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</si>
  <si>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</si>
  <si>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</si>
  <si>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</si>
  <si>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</si>
  <si>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</si>
  <si>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</si>
  <si>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</si>
  <si>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</si>
  <si>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</si>
  <si>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</si>
  <si>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</si>
  <si>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</si>
  <si>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</si>
  <si>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</si>
  <si>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</si>
  <si>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</si>
  <si>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</si>
  <si>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</si>
  <si>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</si>
  <si>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</si>
  <si>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</si>
  <si>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</si>
  <si>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</si>
  <si>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</si>
  <si>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</si>
  <si>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</si>
  <si>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</si>
  <si>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</si>
  <si>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</si>
  <si>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</si>
  <si>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</si>
  <si>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</si>
  <si>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</si>
  <si>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</si>
  <si>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</si>
  <si>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</si>
  <si>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</si>
  <si>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</si>
  <si>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</si>
  <si>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</si>
  <si>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</si>
  <si>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</si>
  <si>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</si>
  <si>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</si>
  <si>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</si>
  <si>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</si>
  <si>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</si>
  <si>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</si>
  <si>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</si>
  <si>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</si>
  <si>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</si>
  <si>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</si>
  <si>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</si>
  <si>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</si>
  <si>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</si>
  <si>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</si>
  <si>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</si>
  <si>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</si>
  <si>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</si>
  <si>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</si>
  <si>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</si>
  <si>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</si>
  <si>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</si>
  <si>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</si>
  <si>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</si>
  <si>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</si>
  <si>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</si>
  <si>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</si>
  <si>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</si>
  <si>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</si>
  <si>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</si>
  <si>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</si>
  <si>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</si>
  <si>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</si>
  <si>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</si>
  <si>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</si>
  <si>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</si>
  <si>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</si>
  <si>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</si>
  <si>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</si>
  <si>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</si>
  <si>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</si>
  <si>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</si>
  <si>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</si>
  <si>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</si>
  <si>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</si>
  <si>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</si>
  <si>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</si>
  <si>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</si>
  <si>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</si>
  <si>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</si>
  <si>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</si>
  <si>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</si>
  <si>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</si>
  <si>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</si>
  <si>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</si>
  <si>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</si>
  <si>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</si>
  <si>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</si>
  <si>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</si>
  <si>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</si>
  <si>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</si>
  <si>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</si>
  <si>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</si>
  <si>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</si>
  <si>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</si>
  <si>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</si>
  <si>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</si>
  <si>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</si>
  <si>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</si>
  <si>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</si>
  <si>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</si>
  <si>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</si>
  <si>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</si>
  <si>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</si>
  <si>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</si>
  <si>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</si>
  <si>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</si>
  <si>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</si>
  <si>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</si>
  <si>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</si>
  <si>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</si>
  <si>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</si>
  <si>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</si>
  <si>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</si>
  <si>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</si>
  <si>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</si>
  <si>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</si>
  <si>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</si>
  <si>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</si>
  <si>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</si>
  <si>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</si>
  <si>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</si>
  <si>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</si>
  <si>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</si>
  <si>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</si>
  <si>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</si>
  <si>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</si>
  <si>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</si>
  <si>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</si>
  <si>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</si>
  <si>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</si>
  <si>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</si>
  <si>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</si>
  <si>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</si>
  <si>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</si>
  <si>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</si>
  <si>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</si>
  <si>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</si>
  <si>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</si>
  <si>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</si>
  <si>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</si>
  <si>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</si>
  <si>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</si>
  <si>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</si>
  <si>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</si>
  <si>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</si>
  <si>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</si>
  <si>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</si>
  <si>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</si>
  <si>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</si>
  <si>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</si>
  <si>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</si>
  <si>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</si>
  <si>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</si>
  <si>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</si>
  <si>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</si>
  <si>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</si>
  <si>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</si>
  <si>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</si>
  <si>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</si>
  <si>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</si>
  <si>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</si>
  <si>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</si>
  <si>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</si>
  <si>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</si>
  <si>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</si>
  <si>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</si>
  <si>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</si>
  <si>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</si>
  <si>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</si>
  <si>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</si>
  <si>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</si>
  <si>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</si>
  <si>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</si>
  <si>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</si>
  <si>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</si>
  <si>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</si>
  <si>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</si>
  <si>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</si>
  <si>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</si>
  <si>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</si>
  <si>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</si>
  <si>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</si>
  <si>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</si>
  <si>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</si>
  <si>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</si>
  <si>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</si>
  <si>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</si>
  <si>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</si>
  <si>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</si>
  <si>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</si>
  <si>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</si>
  <si>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</si>
  <si>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</si>
  <si>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</si>
  <si>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</si>
  <si>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</si>
  <si>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</si>
  <si>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</si>
  <si>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</si>
  <si>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</si>
  <si>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</si>
  <si>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</si>
  <si>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</si>
  <si>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</si>
  <si>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</si>
  <si>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</si>
  <si>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</si>
  <si>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</si>
  <si>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</si>
  <si>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</si>
  <si>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</si>
  <si>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</si>
  <si>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</si>
  <si>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</si>
  <si>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</si>
  <si>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</si>
  <si>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</si>
  <si>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</si>
  <si>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</si>
  <si>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</si>
  <si>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</si>
  <si>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</si>
  <si>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</si>
  <si>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</si>
  <si>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</si>
  <si>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</si>
  <si>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</si>
  <si>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</si>
  <si>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</si>
  <si>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</si>
  <si>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</si>
  <si>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</si>
  <si>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</si>
  <si>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</si>
  <si>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</si>
  <si>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</si>
  <si>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</si>
  <si>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</si>
  <si>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</si>
  <si>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</si>
  <si>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</si>
  <si>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</si>
  <si>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</si>
  <si>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</si>
  <si>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</si>
  <si>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</si>
  <si>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</si>
  <si>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</si>
  <si>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</si>
  <si>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</si>
  <si>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</si>
  <si>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</si>
  <si>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</si>
  <si>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</si>
  <si>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</si>
  <si>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</si>
  <si>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</si>
  <si>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</si>
  <si>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</si>
  <si>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</si>
  <si>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</si>
  <si>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</si>
  <si>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</si>
  <si>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</si>
  <si>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</si>
  <si>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</si>
  <si>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</si>
  <si>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</si>
  <si>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</si>
  <si>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</si>
  <si>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</si>
  <si>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</si>
  <si>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</si>
  <si>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</si>
  <si>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</si>
  <si>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</si>
  <si>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</si>
  <si>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</si>
  <si>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</si>
  <si>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</si>
  <si>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</si>
  <si>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</si>
  <si>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</si>
  <si>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</si>
  <si>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</si>
  <si>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</si>
  <si>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</si>
  <si>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</si>
  <si>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</si>
  <si>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</si>
  <si>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</si>
  <si>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</si>
  <si>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</si>
  <si>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</si>
  <si>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</si>
  <si>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</si>
  <si>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</si>
  <si>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</si>
  <si>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</si>
  <si>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</si>
  <si>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</si>
  <si>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</si>
  <si>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</si>
  <si>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</si>
  <si>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</si>
  <si>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</si>
  <si>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</si>
  <si>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</si>
  <si>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</si>
  <si>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</si>
  <si>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</si>
  <si>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</si>
  <si>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</si>
  <si>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</si>
  <si>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</si>
  <si>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</si>
  <si>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</si>
  <si>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</si>
  <si>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</si>
  <si>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</si>
  <si>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</si>
  <si>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</si>
  <si>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</si>
  <si>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</si>
  <si>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</si>
  <si>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</si>
  <si>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</si>
  <si>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</si>
  <si>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</si>
  <si>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</si>
  <si>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</si>
  <si>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</si>
  <si>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</si>
  <si>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</si>
  <si>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</si>
  <si>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</si>
  <si>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</si>
  <si>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</si>
  <si>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</si>
  <si>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</si>
  <si>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</si>
  <si>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</si>
  <si>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</si>
  <si>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</si>
  <si>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</si>
  <si>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</si>
  <si>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</si>
  <si>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</si>
  <si>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</si>
  <si>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</si>
  <si>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</si>
  <si>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</si>
  <si>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</si>
  <si>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</si>
  <si>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</si>
  <si>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</si>
  <si>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</si>
  <si>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</si>
  <si>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</si>
  <si>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</si>
  <si>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</si>
  <si>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</si>
  <si>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</si>
  <si>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</si>
  <si>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</si>
  <si>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</si>
  <si>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</si>
  <si>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</si>
  <si>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</si>
  <si>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</si>
  <si>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</si>
  <si>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</si>
  <si>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</si>
  <si>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</si>
  <si>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</si>
  <si>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</si>
  <si>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</si>
  <si>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</si>
  <si>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</si>
  <si>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</si>
  <si>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</si>
  <si>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</si>
  <si>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</si>
  <si>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</si>
  <si>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</si>
  <si>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</si>
  <si>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</si>
  <si>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</si>
  <si>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</si>
  <si>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</si>
  <si>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</si>
  <si>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</si>
  <si>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</si>
  <si>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</si>
  <si>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</si>
  <si>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</si>
  <si>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</si>
  <si>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</si>
  <si>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</si>
  <si>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</si>
  <si>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</si>
  <si>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</si>
  <si>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</si>
  <si>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</si>
  <si>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</si>
  <si>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</si>
  <si>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</si>
  <si>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</si>
  <si>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</si>
  <si>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</si>
  <si>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</si>
  <si>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</si>
  <si>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</si>
  <si>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</si>
  <si>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</si>
  <si>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</si>
  <si>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</si>
  <si>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</si>
  <si>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</si>
  <si>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</si>
  <si>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</si>
  <si>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</si>
  <si>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</si>
  <si>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</si>
  <si>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</si>
  <si>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</si>
  <si>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</si>
  <si>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</si>
  <si>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</si>
  <si>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</si>
  <si>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</si>
  <si>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</si>
  <si>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</si>
  <si>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</si>
  <si>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</si>
  <si>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</si>
  <si>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</si>
  <si>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</si>
  <si>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</si>
  <si>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</si>
  <si>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</si>
  <si>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</si>
  <si>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</si>
  <si>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</si>
  <si>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</si>
  <si>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</si>
  <si>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</si>
  <si>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</si>
  <si>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</si>
  <si>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</si>
  <si>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</si>
  <si>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</si>
  <si>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</si>
  <si>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</si>
  <si>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</si>
  <si>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</si>
  <si>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</si>
  <si>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</si>
  <si>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</si>
  <si>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</si>
  <si>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</si>
  <si>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</si>
  <si>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</si>
  <si>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</si>
  <si>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</si>
  <si>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</si>
  <si>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</si>
  <si>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</si>
  <si>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</si>
  <si>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</si>
  <si>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</si>
  <si>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</si>
  <si>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</si>
  <si>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</si>
  <si>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</si>
  <si>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</si>
  <si>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</si>
  <si>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</si>
  <si>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</si>
  <si>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</si>
  <si>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</si>
  <si>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</si>
  <si>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</si>
  <si>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</si>
  <si>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</si>
  <si>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</si>
  <si>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</si>
  <si>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</si>
  <si>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</si>
  <si>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</si>
  <si>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</si>
  <si>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</si>
  <si>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</si>
  <si>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</si>
  <si>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</si>
  <si>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</si>
  <si>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</si>
  <si>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</si>
  <si>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</si>
  <si>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</si>
  <si>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</si>
  <si>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</si>
  <si>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</si>
  <si>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</si>
  <si>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</si>
  <si>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</si>
  <si>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</si>
  <si>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</si>
  <si>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</si>
  <si>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</si>
  <si>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</si>
  <si>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</si>
  <si>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</si>
  <si>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</si>
  <si>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</si>
  <si>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</si>
  <si>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</si>
  <si>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</si>
  <si>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</si>
  <si>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</si>
  <si>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</si>
  <si>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</si>
  <si>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</si>
  <si>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</si>
  <si>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</si>
  <si>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</si>
  <si>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</si>
  <si>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</si>
  <si>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</si>
  <si>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</si>
  <si>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</si>
  <si>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</si>
  <si>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</si>
  <si>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</si>
  <si>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</si>
  <si>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</si>
  <si>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</si>
  <si>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</si>
  <si>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</si>
  <si>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</si>
  <si>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</si>
  <si>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</si>
  <si>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</si>
  <si>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</si>
  <si>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</si>
  <si>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</si>
  <si>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</si>
  <si>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</si>
  <si>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</si>
  <si>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</si>
  <si>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</si>
  <si>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</si>
  <si>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</si>
  <si>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</si>
  <si>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</si>
  <si>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</si>
  <si>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</si>
  <si>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</si>
  <si>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</si>
  <si>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</si>
  <si>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</si>
  <si>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</si>
  <si>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</si>
  <si>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</si>
  <si>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</si>
  <si>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</si>
  <si>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</si>
  <si>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</si>
  <si>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</si>
  <si>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</si>
  <si>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</si>
  <si>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</si>
  <si>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</si>
  <si>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</si>
  <si>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</si>
  <si>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</si>
  <si>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</si>
  <si>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</si>
  <si>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</si>
  <si>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</si>
  <si>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</si>
  <si>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</si>
  <si>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</si>
  <si>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</si>
  <si>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</si>
  <si>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</si>
  <si>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</si>
  <si>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</si>
  <si>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</si>
  <si>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</si>
  <si>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</si>
  <si>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</si>
  <si>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</si>
  <si>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</si>
  <si>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</si>
  <si>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</si>
  <si>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</si>
  <si>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</si>
  <si>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</si>
  <si>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</si>
  <si>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</si>
  <si>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</si>
  <si>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</si>
  <si>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</si>
  <si>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</si>
  <si>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</si>
  <si>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</si>
  <si>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</si>
  <si>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</si>
  <si>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</si>
  <si>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</si>
  <si>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</si>
  <si>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</si>
  <si>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</si>
  <si>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</si>
  <si>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</si>
  <si>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</si>
  <si>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</si>
  <si>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</si>
  <si>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</si>
  <si>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</si>
  <si>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</si>
  <si>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</si>
  <si>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</si>
  <si>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</si>
  <si>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</si>
  <si>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</si>
  <si>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</si>
  <si>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</si>
  <si>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</si>
  <si>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</si>
  <si>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</si>
  <si>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</si>
  <si>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</si>
  <si>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</si>
  <si>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</si>
  <si>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</si>
  <si>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</si>
  <si>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</si>
  <si>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</si>
  <si>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</si>
  <si>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</si>
  <si>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</si>
  <si>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</si>
  <si>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</si>
  <si>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</si>
  <si>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</si>
  <si>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</si>
  <si>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</si>
  <si>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</si>
  <si>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</si>
  <si>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</si>
  <si>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</si>
  <si>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</si>
  <si>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</si>
  <si>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</si>
  <si>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</si>
  <si>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</si>
  <si>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</si>
  <si>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</si>
  <si>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</si>
  <si>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</si>
  <si>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</si>
  <si>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</si>
  <si>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</si>
  <si>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</si>
  <si>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</si>
  <si>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</si>
  <si>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</si>
  <si>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</si>
  <si>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</si>
  <si>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</si>
  <si>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</si>
  <si>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</si>
  <si>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</si>
  <si>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</si>
  <si>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</si>
  <si>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</si>
  <si>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</si>
  <si>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</si>
  <si>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</si>
  <si>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</si>
  <si>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</si>
  <si>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</si>
  <si>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</si>
  <si>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</si>
  <si>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</si>
  <si>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</si>
  <si>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</si>
  <si>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</si>
  <si>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</si>
  <si>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</si>
  <si>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</si>
  <si>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</si>
  <si>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</si>
  <si>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</si>
  <si>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</si>
  <si>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</si>
  <si>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</si>
  <si>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</si>
  <si>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</si>
  <si>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</si>
  <si>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</si>
  <si>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</si>
  <si>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</si>
  <si>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</si>
  <si>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</si>
  <si>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</si>
  <si>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</si>
  <si>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</si>
  <si>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</si>
  <si>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</si>
  <si>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</si>
  <si>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</si>
  <si>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</si>
  <si>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</si>
  <si>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</si>
  <si>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</si>
  <si>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</si>
  <si>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</si>
  <si>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</si>
  <si>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</si>
  <si>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</si>
  <si>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</si>
  <si>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</si>
  <si>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</si>
  <si>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</si>
  <si>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</si>
  <si>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</si>
  <si>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</si>
  <si>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</si>
  <si>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</si>
  <si>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</si>
  <si>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</si>
  <si>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</si>
  <si>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</si>
  <si>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</si>
  <si>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</si>
  <si>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</si>
  <si>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</si>
  <si>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</si>
  <si>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</si>
  <si>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</si>
  <si>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</si>
  <si>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</si>
  <si>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</si>
  <si>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</si>
  <si>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</si>
  <si>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</si>
  <si>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</si>
  <si>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</si>
  <si>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</si>
  <si>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</si>
  <si>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</si>
  <si>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</si>
  <si>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</si>
  <si>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</si>
  <si>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</si>
  <si>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</si>
  <si>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</si>
  <si>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</si>
  <si>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</si>
  <si>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</si>
  <si>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</si>
  <si>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</si>
  <si>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</si>
  <si>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</si>
  <si>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</si>
  <si>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</si>
  <si>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</si>
  <si>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</si>
  <si>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</si>
  <si>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</si>
  <si>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</si>
  <si>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</si>
  <si>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</si>
  <si>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</si>
  <si>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</si>
  <si>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</si>
  <si>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</si>
  <si>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</si>
  <si>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</si>
  <si>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</si>
  <si>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</si>
  <si>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</si>
  <si>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</si>
  <si>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</si>
  <si>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</si>
  <si>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</si>
  <si>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</si>
  <si>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</si>
  <si>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</si>
  <si>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</si>
  <si>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</si>
  <si>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</si>
  <si>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</si>
  <si>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</si>
  <si>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</si>
  <si>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</si>
  <si>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</si>
  <si>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</si>
  <si>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</si>
  <si>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</si>
  <si>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</si>
  <si>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</si>
  <si>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</si>
  <si>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</si>
  <si>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</si>
  <si>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</si>
  <si>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</si>
  <si>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</si>
  <si>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</si>
  <si>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</si>
  <si>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</si>
  <si>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</si>
  <si>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</si>
  <si>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</si>
  <si>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</si>
  <si>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</si>
  <si>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</si>
  <si>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</si>
  <si>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</si>
  <si>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</si>
  <si>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</si>
  <si>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</si>
  <si>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</si>
  <si>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</si>
  <si>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</si>
  <si>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</si>
  <si>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</si>
  <si>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</si>
  <si>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</si>
  <si>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</si>
  <si>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</si>
  <si>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</si>
  <si>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</si>
  <si>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</si>
  <si>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</si>
  <si>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</si>
  <si>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</si>
  <si>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</si>
  <si>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</si>
  <si>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</si>
  <si>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</si>
  <si>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</si>
  <si>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</si>
  <si>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</si>
  <si>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</si>
  <si>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</si>
  <si>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</si>
  <si>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</si>
  <si>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</si>
  <si>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</si>
  <si>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</si>
  <si>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</si>
  <si>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</si>
  <si>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</si>
  <si>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</si>
  <si>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</si>
  <si>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</si>
  <si>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</si>
  <si>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</si>
  <si>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</si>
  <si>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</si>
  <si>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</si>
  <si>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</si>
  <si>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</si>
  <si>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</si>
  <si>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</si>
  <si>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</si>
  <si>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</si>
  <si>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</si>
  <si>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</si>
  <si>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</si>
  <si>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</si>
  <si>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</si>
  <si>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</si>
  <si>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</si>
  <si>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</si>
  <si>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</si>
  <si>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</si>
  <si>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</si>
  <si>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</si>
  <si>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</si>
  <si>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</si>
  <si>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</si>
  <si>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</si>
  <si>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</si>
  <si>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</si>
  <si>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</si>
  <si>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</si>
  <si>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</si>
  <si>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</si>
  <si>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</si>
  <si>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</si>
  <si>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</si>
  <si>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</si>
  <si>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</si>
  <si>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</si>
  <si>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</si>
  <si>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</si>
  <si>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</si>
  <si>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</si>
  <si>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</si>
  <si>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</si>
  <si>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</si>
  <si>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</si>
  <si>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</si>
  <si>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</si>
  <si>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</si>
  <si>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</si>
  <si>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</si>
  <si>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</si>
  <si>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</si>
  <si>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</si>
  <si>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</si>
  <si>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</si>
  <si>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</si>
  <si>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</si>
  <si>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</si>
  <si>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</si>
  <si>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</si>
  <si>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</si>
  <si>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</si>
  <si>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</si>
  <si>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</si>
  <si>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</si>
  <si>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</si>
  <si>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</si>
  <si>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</si>
  <si>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</si>
  <si>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</si>
  <si>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</si>
  <si>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</si>
  <si>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</si>
  <si>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</si>
  <si>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</si>
  <si>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</si>
  <si>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</si>
  <si>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</si>
  <si>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</si>
  <si>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</si>
  <si>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</si>
  <si>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</si>
  <si>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</si>
  <si>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</si>
  <si>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</si>
  <si>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</si>
  <si>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</si>
  <si>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</si>
  <si>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</si>
  <si>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</si>
  <si>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</si>
  <si>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</si>
  <si>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</si>
  <si>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</si>
  <si>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</si>
  <si>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</si>
  <si>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</si>
  <si>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</si>
  <si>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</si>
  <si>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</si>
  <si>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</si>
  <si>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</si>
  <si>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</si>
  <si>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</si>
  <si>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</si>
  <si>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</si>
  <si>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</si>
  <si>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</si>
  <si>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</si>
  <si>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</si>
  <si>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</si>
  <si>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</si>
  <si>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</si>
  <si>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</si>
  <si>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</si>
  <si>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</si>
  <si>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</si>
  <si>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</si>
  <si>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</si>
  <si>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</si>
  <si>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</si>
  <si>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</si>
  <si>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</si>
  <si>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</si>
  <si>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</si>
  <si>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</si>
  <si>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</si>
  <si>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</si>
  <si>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</si>
  <si>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</si>
  <si>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</si>
  <si>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</si>
  <si>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</si>
  <si>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</si>
  <si>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</si>
  <si>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</si>
  <si>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</si>
  <si>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</si>
  <si>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</si>
  <si>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</si>
  <si>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</si>
  <si>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</si>
  <si>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</si>
  <si>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</si>
  <si>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</si>
  <si>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</si>
  <si>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</si>
  <si>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</si>
  <si>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</si>
  <si>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</si>
  <si>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</si>
  <si>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</si>
  <si>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</si>
  <si>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</si>
  <si>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</si>
  <si>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</si>
  <si>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</si>
  <si>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</si>
  <si>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</si>
  <si>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</si>
  <si>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</si>
  <si>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</si>
  <si>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</si>
  <si>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</si>
  <si>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</si>
  <si>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</si>
  <si>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</si>
  <si>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</si>
  <si>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</si>
  <si>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</si>
  <si>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</si>
  <si>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</si>
  <si>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</si>
  <si>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</si>
  <si>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</si>
  <si>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</si>
  <si>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</si>
  <si>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</si>
  <si>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</si>
  <si>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</si>
  <si>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</si>
  <si>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</si>
  <si>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</si>
  <si>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</si>
  <si>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</si>
  <si>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</si>
  <si>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</si>
  <si>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</si>
  <si>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</si>
  <si>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</si>
  <si>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</si>
  <si>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</si>
  <si>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</si>
  <si>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</si>
  <si>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</si>
  <si>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</si>
  <si>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</si>
  <si>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</si>
  <si>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</si>
  <si>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</si>
  <si>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</si>
  <si>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</si>
  <si>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</si>
  <si>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</si>
  <si>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</si>
  <si>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</si>
  <si>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</si>
  <si>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</si>
  <si>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</si>
  <si>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</si>
  <si>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</si>
  <si>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</si>
  <si>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</si>
  <si>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</si>
  <si>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</si>
  <si>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</si>
  <si>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</si>
  <si>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</si>
  <si>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</si>
  <si>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</si>
  <si>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</si>
  <si>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</si>
  <si>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</si>
  <si>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</si>
  <si>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</si>
  <si>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</si>
  <si>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</si>
  <si>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</si>
  <si>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</si>
  <si>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</si>
  <si>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</si>
  <si>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</si>
  <si>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</si>
  <si>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</si>
  <si>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</si>
  <si>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</si>
  <si>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</si>
  <si>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</si>
  <si>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</si>
  <si>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</si>
  <si>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</si>
  <si>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</si>
  <si>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</si>
  <si>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</si>
  <si>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</si>
  <si>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</si>
  <si>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</si>
  <si>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</si>
  <si>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</si>
  <si>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</si>
  <si>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</si>
  <si>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</si>
  <si>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</si>
  <si>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</si>
  <si>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</si>
  <si>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</si>
  <si>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</si>
  <si>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</si>
  <si>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</si>
  <si>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</si>
  <si>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</si>
  <si>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</si>
  <si>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</si>
  <si>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</si>
  <si>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</si>
  <si>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</si>
  <si>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</si>
  <si>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</si>
  <si>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</si>
  <si>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</si>
  <si>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</si>
  <si>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</si>
  <si>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</si>
  <si>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</si>
  <si>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</si>
  <si>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</si>
  <si>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</si>
  <si>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</si>
  <si>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</si>
  <si>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</si>
  <si>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</si>
  <si>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</si>
  <si>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</si>
  <si>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</si>
  <si>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</si>
  <si>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</si>
  <si>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</si>
  <si>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</si>
  <si>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</si>
  <si>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</si>
  <si>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</si>
  <si>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</si>
  <si>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</si>
  <si>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</si>
  <si>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</si>
  <si>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</si>
  <si>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</si>
  <si>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</si>
  <si>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</si>
  <si>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</si>
  <si>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</si>
  <si>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</si>
  <si>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</si>
  <si>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</si>
  <si>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</si>
  <si>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</si>
  <si>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</si>
  <si>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</si>
  <si>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</si>
  <si>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</si>
  <si>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</si>
  <si>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</si>
  <si>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</si>
  <si>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</si>
  <si>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</si>
  <si>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</si>
  <si>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</si>
  <si>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</si>
  <si>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</si>
  <si>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</si>
  <si>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</si>
  <si>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</si>
  <si>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</si>
  <si>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</si>
  <si>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</si>
  <si>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</si>
  <si>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</si>
  <si>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</si>
  <si>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</si>
  <si>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</si>
  <si>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</si>
  <si>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</si>
  <si>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</si>
  <si>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</si>
  <si>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</si>
  <si>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</si>
  <si>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</si>
  <si>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</si>
  <si>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</si>
  <si>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</si>
  <si>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</si>
  <si>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</si>
  <si>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</si>
  <si>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</si>
  <si>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</si>
  <si>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</si>
  <si>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</si>
  <si>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</si>
  <si>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</si>
  <si>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</si>
  <si>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</si>
  <si>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</si>
  <si>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</si>
  <si>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</si>
  <si>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</si>
  <si>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</si>
  <si>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</si>
  <si>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</si>
  <si>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</si>
  <si>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</si>
  <si>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</si>
  <si>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</si>
  <si>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</si>
  <si>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</si>
  <si>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</si>
  <si>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</si>
  <si>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</si>
  <si>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</si>
  <si>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</si>
  <si>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</si>
  <si>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</si>
  <si>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</si>
  <si>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</si>
  <si>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</si>
  <si>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</si>
  <si>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</si>
  <si>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</si>
  <si>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</si>
  <si>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</si>
  <si>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</si>
  <si>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</si>
  <si>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</si>
  <si>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</si>
  <si>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</si>
  <si>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</si>
  <si>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</si>
  <si>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</si>
  <si>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</si>
  <si>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</si>
  <si>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</si>
  <si>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</si>
  <si>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</si>
  <si>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</si>
  <si>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</si>
  <si>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</si>
  <si>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</si>
  <si>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</si>
  <si>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</si>
  <si>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</si>
  <si>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</si>
  <si>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</si>
  <si>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</si>
  <si>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</si>
  <si>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</si>
  <si>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</si>
  <si>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</si>
  <si>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</si>
  <si>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</si>
  <si>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</si>
  <si>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</si>
  <si>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</si>
  <si>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</si>
  <si>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</si>
  <si>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</si>
  <si>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</si>
  <si>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</si>
  <si>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</si>
  <si>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</si>
  <si>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</si>
  <si>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</si>
  <si>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</si>
  <si>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</si>
  <si>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</si>
  <si>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</si>
  <si>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</si>
  <si>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</si>
  <si>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</si>
  <si>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</si>
  <si>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</si>
  <si>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</si>
  <si>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</si>
  <si>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</si>
  <si>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</si>
  <si>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</si>
  <si>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</si>
  <si>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</si>
  <si>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</si>
  <si>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</si>
  <si>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</si>
  <si>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</si>
  <si>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</si>
  <si>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</si>
  <si>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</si>
  <si>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</si>
  <si>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</si>
  <si>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</si>
  <si>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</si>
  <si>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</si>
  <si>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</si>
  <si>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</si>
  <si>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</si>
  <si>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</si>
  <si>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</si>
  <si>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</si>
  <si>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</si>
  <si>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</si>
  <si>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</si>
  <si>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</si>
  <si>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</si>
  <si>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</si>
  <si>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</si>
  <si>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</si>
  <si>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</si>
  <si>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</si>
  <si>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</si>
  <si>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</si>
  <si>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</si>
  <si>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</si>
  <si>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</si>
  <si>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</si>
  <si>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</si>
  <si>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</si>
  <si>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</si>
  <si>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</si>
  <si>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</si>
  <si>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</si>
  <si>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</si>
  <si>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</si>
  <si>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</si>
  <si>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</si>
  <si>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</si>
  <si>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</si>
  <si>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</si>
  <si>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</si>
  <si>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</si>
  <si>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</si>
  <si>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</si>
  <si>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</si>
  <si>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</si>
  <si>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</si>
  <si>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</si>
  <si>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</si>
  <si>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</si>
  <si>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</si>
  <si>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</si>
  <si>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</si>
  <si>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</si>
  <si>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</si>
  <si>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</si>
  <si>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</si>
  <si>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</si>
  <si>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</si>
  <si>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</si>
  <si>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</si>
  <si>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</si>
  <si>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</si>
  <si>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</si>
  <si>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</si>
  <si>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</si>
  <si>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</si>
  <si>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</si>
  <si>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</si>
  <si>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</si>
  <si>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</si>
  <si>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</si>
  <si>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</si>
  <si>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</si>
  <si>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</si>
  <si>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</si>
  <si>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</si>
  <si>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</si>
  <si>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</si>
  <si>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</si>
  <si>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</si>
  <si>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</si>
  <si>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</si>
  <si>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</si>
  <si>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</si>
  <si>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</si>
  <si>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</si>
  <si>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</si>
  <si>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</si>
  <si>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</si>
  <si>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</si>
  <si>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</si>
  <si>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</si>
  <si>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</si>
  <si>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</si>
  <si>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</si>
  <si>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</si>
  <si>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</si>
  <si>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</si>
  <si>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</si>
  <si>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</si>
  <si>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</si>
  <si>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</si>
  <si>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</si>
  <si>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</si>
  <si>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</si>
  <si>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</si>
  <si>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</si>
  <si>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</si>
  <si>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</si>
  <si>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</si>
  <si>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</si>
  <si>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</si>
  <si>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</si>
  <si>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</si>
  <si>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</si>
  <si>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</si>
  <si>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</si>
  <si>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</si>
  <si>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</si>
  <si>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</si>
  <si>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</si>
  <si>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</si>
  <si>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</si>
  <si>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</si>
  <si>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</si>
  <si>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</si>
  <si>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</si>
  <si>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</si>
  <si>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</si>
  <si>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</si>
  <si>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</si>
  <si>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</si>
  <si>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</si>
  <si>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</si>
  <si>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</si>
  <si>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</si>
  <si>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</si>
  <si>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</si>
  <si>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</si>
  <si>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</si>
  <si>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</si>
  <si>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</si>
  <si>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</si>
  <si>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</si>
  <si>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</si>
  <si>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</si>
  <si>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</si>
  <si>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</si>
  <si>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</si>
  <si>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</si>
  <si>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</si>
  <si>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</si>
  <si>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</si>
  <si>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</si>
  <si>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</si>
  <si>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</si>
  <si>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</si>
  <si>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</si>
  <si>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</si>
  <si>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</si>
  <si>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</si>
  <si>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</si>
  <si>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</si>
  <si>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</si>
  <si>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</si>
  <si>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</si>
  <si>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</si>
  <si>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</si>
  <si>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</si>
  <si>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</si>
  <si>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</si>
  <si>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</si>
  <si>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</si>
  <si>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</si>
  <si>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</si>
  <si>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</si>
  <si>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</si>
  <si>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</si>
  <si>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</si>
  <si>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</si>
  <si>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</si>
  <si>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</si>
  <si>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</si>
  <si>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</si>
  <si>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</si>
  <si>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</si>
  <si>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</si>
  <si>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</si>
  <si>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</si>
  <si>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</si>
  <si>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</si>
  <si>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</si>
  <si>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</si>
  <si>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</si>
  <si>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</si>
  <si>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</si>
  <si>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</si>
  <si>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</si>
  <si>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</si>
  <si>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</si>
  <si>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</si>
  <si>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</si>
  <si>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</si>
  <si>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</si>
  <si>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</si>
  <si>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</si>
  <si>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</si>
  <si>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</si>
  <si>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</si>
  <si>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</si>
  <si>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</si>
  <si>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</si>
  <si>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</si>
  <si>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</si>
  <si>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</si>
  <si>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</si>
  <si>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</si>
  <si>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</si>
  <si>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</si>
  <si>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</si>
  <si>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</si>
  <si>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</si>
  <si>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</si>
  <si>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</si>
  <si>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</si>
  <si>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</si>
  <si>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</si>
  <si>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</si>
  <si>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</si>
  <si>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</si>
  <si>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</si>
  <si>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</si>
  <si>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</si>
  <si>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</si>
  <si>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</si>
  <si>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</si>
  <si>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</si>
  <si>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</si>
  <si>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</si>
  <si>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</si>
  <si>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</si>
  <si>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</si>
  <si>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</si>
  <si>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</si>
  <si>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</si>
  <si>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</si>
  <si>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</si>
  <si>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</si>
  <si>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</si>
  <si>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</si>
  <si>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</si>
  <si>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</si>
  <si>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</si>
  <si>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</si>
  <si>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</si>
  <si>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</si>
  <si>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</si>
  <si>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</si>
  <si>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</si>
  <si>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</si>
  <si>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</si>
  <si>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</si>
  <si>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</si>
  <si>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</si>
  <si>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</si>
  <si>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</si>
  <si>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</si>
  <si>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</si>
  <si>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</si>
  <si>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</si>
  <si>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</si>
  <si>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</si>
  <si>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</si>
  <si>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</si>
  <si>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</si>
  <si>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</si>
  <si>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</si>
  <si>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</si>
  <si>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</si>
  <si>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</si>
  <si>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</si>
  <si>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</si>
  <si>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</si>
  <si>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</si>
  <si>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</si>
  <si>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</si>
  <si>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</si>
  <si>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</si>
  <si>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</si>
  <si>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</si>
  <si>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</si>
  <si>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</si>
  <si>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</si>
  <si>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</si>
  <si>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</si>
  <si>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</si>
  <si>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</si>
  <si>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</si>
  <si>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</si>
  <si>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</si>
  <si>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</si>
  <si>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</si>
  <si>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</si>
  <si>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</si>
  <si>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</si>
  <si>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</si>
  <si>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</si>
  <si>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</si>
  <si>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</si>
  <si>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</si>
  <si>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</si>
  <si>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</si>
  <si>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 xml:space="preserve">values for display </t>
  </si>
  <si>
    <t>Qty</t>
  </si>
  <si>
    <t>Avg.Days</t>
  </si>
  <si>
    <t>Column Labels</t>
  </si>
  <si>
    <t>Average of Days to Deliver</t>
  </si>
  <si>
    <t>Oders</t>
  </si>
  <si>
    <t>Avg.Rating</t>
  </si>
  <si>
    <t>Row Labels</t>
  </si>
  <si>
    <t>Grand Total</t>
  </si>
  <si>
    <t>Female</t>
  </si>
  <si>
    <t>Male</t>
  </si>
  <si>
    <t>Other</t>
  </si>
  <si>
    <t>Unknown</t>
  </si>
  <si>
    <t xml:space="preserve">for matrix </t>
  </si>
  <si>
    <t>Group1</t>
  </si>
  <si>
    <t>Group2</t>
  </si>
  <si>
    <t>California Total</t>
  </si>
  <si>
    <t>Jan</t>
  </si>
  <si>
    <t>Feb</t>
  </si>
  <si>
    <t>Mar</t>
  </si>
  <si>
    <t xml:space="preserve">                   Shipping &amp;  Product  Delivery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</si>
</sst>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409]#,##0"/>
    <numFmt numFmtId="166" formatCode="0.0%"/>
  </numFmts>
  <fonts count="4" x14ac:knownFonts="1">
    <font>
      <sz val="11"/>
      <color theme="1"/>
      <name val="Aptos Narrow"/>
      <family val="2"/>
      <scheme val="minor"/>
    </font>
    <font>
      <b/>
      <sz val="11"/>
      <color theme="1"/>
      <name val="Aptos Narrow"/>
      <family val="2"/>
      <scheme val="minor"/>
    </font>
    <font>
      <sz val="11"/>
      <color rgb="FFFF0000"/>
      <name val="Aptos Narrow"/>
      <family val="2"/>
      <scheme val="minor"/>
    </font>
    <font>
      <b/>
      <sz val="28"/>
      <color theme="1"/>
      <name val="Times New Roman"/>
      <family val="1"/>
    </font>
  </fonts>
  <fills count="5">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rgb="FF92D050"/>
        <bgColor indexed="64"/>
      </patternFill>
    </fill>
  </fills>
  <borders count="3">
    <border>
      <left/>
      <right/>
      <top/>
      <bottom/>
      <diagonal/>
    </border>
    <border>
      <left/>
      <right/>
      <top/>
      <bottom style="thin">
        <color theme="4" tint="0.39997558519241921"/>
      </bottom>
      <diagonal/>
    </border>
    <border>
      <left/>
      <right/>
      <top style="thin">
        <color theme="4"/>
      </top>
      <bottom style="thin">
        <color theme="4"/>
      </bottom>
      <diagonal/>
    </border>
  </borders>
  <cellStyleXfs count="1">
    <xf numFmtId="0" fontId="0" fillId="0" borderId="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0" xfId="0" applyNumberFormat="1"/>
    <xf numFmtId="0" fontId="0" fillId="0" borderId="0" xfId="0" applyAlignment="1">
      <alignment horizontal="center" vertical="center"/>
    </xf>
    <xf numFmtId="0" fontId="1" fillId="3" borderId="1" xfId="0" applyFont="1" applyFill="1" applyBorder="1"/>
    <xf numFmtId="0" fontId="1" fillId="0" borderId="0" xfId="0" applyFont="1"/>
    <xf numFmtId="0" fontId="1" fillId="0" borderId="1" xfId="0" applyFont="1" applyBorder="1"/>
    <xf numFmtId="0" fontId="1" fillId="0" borderId="2" xfId="0" applyFont="1" applyBorder="1"/>
    <xf numFmtId="0" fontId="0" fillId="0" borderId="0" xfId="0" applyNumberFormat="1"/>
    <xf numFmtId="0" fontId="0" fillId="4" borderId="0" xfId="0" applyFill="1"/>
    <xf numFmtId="0" fontId="3" fillId="4" borderId="0" xfId="0" applyFont="1" applyFill="1"/>
    <xf numFmtId="0" fontId="2" fillId="4" borderId="0" xfId="0" applyFont="1" applyFill="1"/>
    <xf numFmtId="0" fontId="2" fillId="4" borderId="0" xfId="0" applyFont="1" applyFill="1"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167" formatCode="d\-mmm\-yy"/>
    </dxf>
    <dxf>
      <numFmt numFmtId="167" formatCode="d\-mmm\-yy"/>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.xlsx]Sheet1!pvt Quantity &amp; Amount </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13</a:t>
            </a:r>
            <a:r>
              <a:rPr lang="en-IN" b="1" baseline="0"/>
              <a:t> weeks sales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Sheet1!$B$11:$B$24</c:f>
              <c:numCache>
                <c:formatCode>General</c:formatCode>
                <c:ptCount val="13"/>
                <c:pt idx="0">
                  <c:v>251</c:v>
                </c:pt>
                <c:pt idx="1">
                  <c:v>380</c:v>
                </c:pt>
                <c:pt idx="2">
                  <c:v>377</c:v>
                </c:pt>
                <c:pt idx="3">
                  <c:v>495</c:v>
                </c:pt>
                <c:pt idx="4">
                  <c:v>365</c:v>
                </c:pt>
                <c:pt idx="5">
                  <c:v>515</c:v>
                </c:pt>
                <c:pt idx="6">
                  <c:v>385</c:v>
                </c:pt>
                <c:pt idx="7">
                  <c:v>510</c:v>
                </c:pt>
                <c:pt idx="8">
                  <c:v>410</c:v>
                </c:pt>
                <c:pt idx="9">
                  <c:v>492</c:v>
                </c:pt>
                <c:pt idx="10">
                  <c:v>375</c:v>
                </c:pt>
                <c:pt idx="11">
                  <c:v>512</c:v>
                </c:pt>
                <c:pt idx="12">
                  <c:v>402</c:v>
                </c:pt>
              </c:numCache>
            </c:numRef>
          </c:val>
          <c:smooth val="0"/>
          <c:extLst>
            <c:ext xmlns:c16="http://schemas.microsoft.com/office/drawing/2014/chart" uri="{C3380CC4-5D6E-409C-BE32-E72D297353CC}">
              <c16:uniqueId val="{00000000-ED9A-4E16-BCB1-80F10E4CB3B1}"/>
            </c:ext>
          </c:extLst>
        </c:ser>
        <c:dLbls>
          <c:showLegendKey val="0"/>
          <c:showVal val="0"/>
          <c:showCatName val="0"/>
          <c:showSerName val="0"/>
          <c:showPercent val="0"/>
          <c:showBubbleSize val="0"/>
        </c:dLbls>
        <c:marker val="1"/>
        <c:smooth val="0"/>
        <c:axId val="1331697360"/>
        <c:axId val="1331698320"/>
      </c:lineChart>
      <c:lineChart>
        <c:grouping val="standard"/>
        <c:varyColors val="0"/>
        <c:ser>
          <c:idx val="1"/>
          <c:order val="1"/>
          <c:tx>
            <c:strRef>
              <c:f>Sheet1!$C$10</c:f>
              <c:strCache>
                <c:ptCount val="1"/>
                <c:pt idx="0">
                  <c:v>Sum of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Sheet1!$C$11:$C$24</c:f>
              <c:numCache>
                <c:formatCode>[$$-409]#,##0</c:formatCode>
                <c:ptCount val="13"/>
                <c:pt idx="0">
                  <c:v>16895.2</c:v>
                </c:pt>
                <c:pt idx="1">
                  <c:v>18036.500000000004</c:v>
                </c:pt>
                <c:pt idx="2">
                  <c:v>20912.100000000002</c:v>
                </c:pt>
                <c:pt idx="3">
                  <c:v>23083.300000000007</c:v>
                </c:pt>
                <c:pt idx="4">
                  <c:v>18873.900000000005</c:v>
                </c:pt>
                <c:pt idx="5">
                  <c:v>30363.000000000011</c:v>
                </c:pt>
                <c:pt idx="6">
                  <c:v>20359.700000000004</c:v>
                </c:pt>
                <c:pt idx="7">
                  <c:v>28477.5</c:v>
                </c:pt>
                <c:pt idx="8">
                  <c:v>19090.500000000004</c:v>
                </c:pt>
                <c:pt idx="9">
                  <c:v>31651.1</c:v>
                </c:pt>
                <c:pt idx="10">
                  <c:v>22033.500000000004</c:v>
                </c:pt>
                <c:pt idx="11">
                  <c:v>30696.500000000004</c:v>
                </c:pt>
                <c:pt idx="12">
                  <c:v>20584.699999999993</c:v>
                </c:pt>
              </c:numCache>
            </c:numRef>
          </c:val>
          <c:smooth val="0"/>
          <c:extLst>
            <c:ext xmlns:c16="http://schemas.microsoft.com/office/drawing/2014/chart" uri="{C3380CC4-5D6E-409C-BE32-E72D297353CC}">
              <c16:uniqueId val="{00000001-ED9A-4E16-BCB1-80F10E4CB3B1}"/>
            </c:ext>
          </c:extLst>
        </c:ser>
        <c:dLbls>
          <c:showLegendKey val="0"/>
          <c:showVal val="0"/>
          <c:showCatName val="0"/>
          <c:showSerName val="0"/>
          <c:showPercent val="0"/>
          <c:showBubbleSize val="0"/>
        </c:dLbls>
        <c:marker val="1"/>
        <c:smooth val="0"/>
        <c:axId val="1942472992"/>
        <c:axId val="1942474912"/>
      </c:lineChart>
      <c:catAx>
        <c:axId val="13316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98320"/>
        <c:crosses val="autoZero"/>
        <c:auto val="1"/>
        <c:lblAlgn val="ctr"/>
        <c:lblOffset val="100"/>
        <c:noMultiLvlLbl val="0"/>
      </c:catAx>
      <c:valAx>
        <c:axId val="133169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97360"/>
        <c:crosses val="autoZero"/>
        <c:crossBetween val="between"/>
      </c:valAx>
      <c:valAx>
        <c:axId val="1942474912"/>
        <c:scaling>
          <c:orientation val="minMax"/>
        </c:scaling>
        <c:delete val="0"/>
        <c:axPos val="r"/>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72992"/>
        <c:crosses val="max"/>
        <c:crossBetween val="between"/>
      </c:valAx>
      <c:catAx>
        <c:axId val="1942472992"/>
        <c:scaling>
          <c:orientation val="minMax"/>
        </c:scaling>
        <c:delete val="1"/>
        <c:axPos val="b"/>
        <c:numFmt formatCode="General" sourceLinked="1"/>
        <c:majorTickMark val="none"/>
        <c:minorTickMark val="none"/>
        <c:tickLblPos val="nextTo"/>
        <c:crossAx val="19424749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.xlsx]Sheet2!pvt Gender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Popular Products</a:t>
            </a:r>
            <a:endParaRPr lang="en-IN" b="1"/>
          </a:p>
        </c:rich>
      </c:tx>
      <c:layout>
        <c:manualLayout>
          <c:xMode val="edge"/>
          <c:yMode val="edge"/>
          <c:x val="0.36857754631844103"/>
          <c:y val="2.2883070711891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66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66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FF660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tx2">
              <a:lumMod val="25000"/>
              <a:lumOff val="75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92D05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44241037376057E-2"/>
          <c:y val="0.18033120992584725"/>
          <c:w val="0.66701838471564057"/>
          <c:h val="0.7693542629679242"/>
        </c:manualLayout>
      </c:layout>
      <c:barChart>
        <c:barDir val="bar"/>
        <c:grouping val="stacked"/>
        <c:varyColors val="0"/>
        <c:ser>
          <c:idx val="0"/>
          <c:order val="0"/>
          <c:tx>
            <c:strRef>
              <c:f>Sheet2!$B$3:$B$4</c:f>
              <c:strCache>
                <c:ptCount val="1"/>
                <c:pt idx="0">
                  <c:v>Female</c:v>
                </c:pt>
              </c:strCache>
            </c:strRef>
          </c:tx>
          <c:spPr>
            <a:solidFill>
              <a:schemeClr val="tx2">
                <a:lumMod val="75000"/>
                <a:lumOff val="25000"/>
              </a:schemeClr>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Sheet2!$B$5:$B$25</c:f>
              <c:numCache>
                <c:formatCode>General</c:formatCode>
                <c:ptCount val="20"/>
                <c:pt idx="0">
                  <c:v>323</c:v>
                </c:pt>
                <c:pt idx="1">
                  <c:v>365</c:v>
                </c:pt>
                <c:pt idx="2">
                  <c:v>261</c:v>
                </c:pt>
                <c:pt idx="3">
                  <c:v>251</c:v>
                </c:pt>
                <c:pt idx="4">
                  <c:v>225</c:v>
                </c:pt>
                <c:pt idx="5">
                  <c:v>214</c:v>
                </c:pt>
                <c:pt idx="6">
                  <c:v>181</c:v>
                </c:pt>
                <c:pt idx="7">
                  <c:v>186</c:v>
                </c:pt>
                <c:pt idx="8">
                  <c:v>115</c:v>
                </c:pt>
                <c:pt idx="9">
                  <c:v>96</c:v>
                </c:pt>
                <c:pt idx="10">
                  <c:v>52</c:v>
                </c:pt>
                <c:pt idx="11">
                  <c:v>116</c:v>
                </c:pt>
                <c:pt idx="12">
                  <c:v>117</c:v>
                </c:pt>
                <c:pt idx="13">
                  <c:v>40</c:v>
                </c:pt>
                <c:pt idx="14">
                  <c:v>72</c:v>
                </c:pt>
                <c:pt idx="15">
                  <c:v>66</c:v>
                </c:pt>
                <c:pt idx="16">
                  <c:v>52</c:v>
                </c:pt>
                <c:pt idx="17">
                  <c:v>55</c:v>
                </c:pt>
                <c:pt idx="18">
                  <c:v>25</c:v>
                </c:pt>
                <c:pt idx="19">
                  <c:v>22</c:v>
                </c:pt>
              </c:numCache>
            </c:numRef>
          </c:val>
          <c:extLst>
            <c:ext xmlns:c16="http://schemas.microsoft.com/office/drawing/2014/chart" uri="{C3380CC4-5D6E-409C-BE32-E72D297353CC}">
              <c16:uniqueId val="{00000000-42BB-46A9-A990-986CFA61142B}"/>
            </c:ext>
          </c:extLst>
        </c:ser>
        <c:ser>
          <c:idx val="1"/>
          <c:order val="1"/>
          <c:tx>
            <c:strRef>
              <c:f>Sheet2!$C$3:$C$4</c:f>
              <c:strCache>
                <c:ptCount val="1"/>
                <c:pt idx="0">
                  <c:v>Male</c:v>
                </c:pt>
              </c:strCache>
            </c:strRef>
          </c:tx>
          <c:spPr>
            <a:solidFill>
              <a:srgbClr val="FF6600"/>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Sheet2!$C$5:$C$25</c:f>
              <c:numCache>
                <c:formatCode>General</c:formatCode>
                <c:ptCount val="20"/>
                <c:pt idx="0">
                  <c:v>374</c:v>
                </c:pt>
                <c:pt idx="1">
                  <c:v>336</c:v>
                </c:pt>
                <c:pt idx="2">
                  <c:v>174</c:v>
                </c:pt>
                <c:pt idx="3">
                  <c:v>177</c:v>
                </c:pt>
                <c:pt idx="4">
                  <c:v>140</c:v>
                </c:pt>
                <c:pt idx="5">
                  <c:v>98</c:v>
                </c:pt>
                <c:pt idx="6">
                  <c:v>72</c:v>
                </c:pt>
                <c:pt idx="7">
                  <c:v>79</c:v>
                </c:pt>
                <c:pt idx="8">
                  <c:v>117</c:v>
                </c:pt>
                <c:pt idx="9">
                  <c:v>86</c:v>
                </c:pt>
                <c:pt idx="10">
                  <c:v>114</c:v>
                </c:pt>
                <c:pt idx="11">
                  <c:v>38</c:v>
                </c:pt>
                <c:pt idx="12">
                  <c:v>44</c:v>
                </c:pt>
                <c:pt idx="13">
                  <c:v>79</c:v>
                </c:pt>
                <c:pt idx="14">
                  <c:v>41</c:v>
                </c:pt>
                <c:pt idx="15">
                  <c:v>44</c:v>
                </c:pt>
                <c:pt idx="16">
                  <c:v>57</c:v>
                </c:pt>
                <c:pt idx="17">
                  <c:v>9</c:v>
                </c:pt>
                <c:pt idx="18">
                  <c:v>36</c:v>
                </c:pt>
                <c:pt idx="19">
                  <c:v>22</c:v>
                </c:pt>
              </c:numCache>
            </c:numRef>
          </c:val>
          <c:extLst>
            <c:ext xmlns:c16="http://schemas.microsoft.com/office/drawing/2014/chart" uri="{C3380CC4-5D6E-409C-BE32-E72D297353CC}">
              <c16:uniqueId val="{0000001B-42BB-46A9-A990-986CFA61142B}"/>
            </c:ext>
          </c:extLst>
        </c:ser>
        <c:ser>
          <c:idx val="2"/>
          <c:order val="2"/>
          <c:tx>
            <c:strRef>
              <c:f>Sheet2!$D$3:$D$4</c:f>
              <c:strCache>
                <c:ptCount val="1"/>
                <c:pt idx="0">
                  <c:v>Other</c:v>
                </c:pt>
              </c:strCache>
            </c:strRef>
          </c:tx>
          <c:spPr>
            <a:solidFill>
              <a:srgbClr val="92D050"/>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Sheet2!$D$5:$D$25</c:f>
              <c:numCache>
                <c:formatCode>General</c:formatCode>
                <c:ptCount val="20"/>
                <c:pt idx="0">
                  <c:v>8</c:v>
                </c:pt>
                <c:pt idx="1">
                  <c:v>36</c:v>
                </c:pt>
                <c:pt idx="3">
                  <c:v>15</c:v>
                </c:pt>
                <c:pt idx="6">
                  <c:v>5</c:v>
                </c:pt>
                <c:pt idx="7">
                  <c:v>2</c:v>
                </c:pt>
                <c:pt idx="8">
                  <c:v>7</c:v>
                </c:pt>
                <c:pt idx="9">
                  <c:v>5</c:v>
                </c:pt>
                <c:pt idx="10">
                  <c:v>13</c:v>
                </c:pt>
                <c:pt idx="11">
                  <c:v>10</c:v>
                </c:pt>
                <c:pt idx="13">
                  <c:v>10</c:v>
                </c:pt>
                <c:pt idx="14">
                  <c:v>15</c:v>
                </c:pt>
                <c:pt idx="17">
                  <c:v>3</c:v>
                </c:pt>
              </c:numCache>
            </c:numRef>
          </c:val>
          <c:extLst>
            <c:ext xmlns:c16="http://schemas.microsoft.com/office/drawing/2014/chart" uri="{C3380CC4-5D6E-409C-BE32-E72D297353CC}">
              <c16:uniqueId val="{0000001C-42BB-46A9-A990-986CFA61142B}"/>
            </c:ext>
          </c:extLst>
        </c:ser>
        <c:ser>
          <c:idx val="3"/>
          <c:order val="3"/>
          <c:tx>
            <c:strRef>
              <c:f>Sheet2!$E$3:$E$4</c:f>
              <c:strCache>
                <c:ptCount val="1"/>
                <c:pt idx="0">
                  <c:v>Unknown</c:v>
                </c:pt>
              </c:strCache>
            </c:strRef>
          </c:tx>
          <c:spPr>
            <a:solidFill>
              <a:schemeClr val="tx2">
                <a:lumMod val="50000"/>
                <a:lumOff val="50000"/>
              </a:schemeClr>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Sheet2!$E$5:$E$25</c:f>
              <c:numCache>
                <c:formatCode>General</c:formatCode>
                <c:ptCount val="20"/>
                <c:pt idx="0">
                  <c:v>133</c:v>
                </c:pt>
                <c:pt idx="1">
                  <c:v>62</c:v>
                </c:pt>
                <c:pt idx="2">
                  <c:v>29</c:v>
                </c:pt>
                <c:pt idx="4">
                  <c:v>4</c:v>
                </c:pt>
                <c:pt idx="5">
                  <c:v>12</c:v>
                </c:pt>
                <c:pt idx="6">
                  <c:v>29</c:v>
                </c:pt>
                <c:pt idx="7">
                  <c:v>12</c:v>
                </c:pt>
                <c:pt idx="8">
                  <c:v>16</c:v>
                </c:pt>
                <c:pt idx="9">
                  <c:v>5</c:v>
                </c:pt>
                <c:pt idx="11">
                  <c:v>13</c:v>
                </c:pt>
                <c:pt idx="13">
                  <c:v>8</c:v>
                </c:pt>
                <c:pt idx="14">
                  <c:v>6</c:v>
                </c:pt>
                <c:pt idx="15">
                  <c:v>10</c:v>
                </c:pt>
                <c:pt idx="16">
                  <c:v>6</c:v>
                </c:pt>
                <c:pt idx="17">
                  <c:v>24</c:v>
                </c:pt>
              </c:numCache>
            </c:numRef>
          </c:val>
          <c:extLst>
            <c:ext xmlns:c16="http://schemas.microsoft.com/office/drawing/2014/chart" uri="{C3380CC4-5D6E-409C-BE32-E72D297353CC}">
              <c16:uniqueId val="{00000001-65F0-4ED5-9FA5-62A48D2EE64A}"/>
            </c:ext>
          </c:extLst>
        </c:ser>
        <c:dLbls>
          <c:showLegendKey val="0"/>
          <c:showVal val="0"/>
          <c:showCatName val="0"/>
          <c:showSerName val="0"/>
          <c:showPercent val="0"/>
          <c:showBubbleSize val="0"/>
        </c:dLbls>
        <c:gapWidth val="150"/>
        <c:overlap val="100"/>
        <c:axId val="253416991"/>
        <c:axId val="253412191"/>
      </c:barChart>
      <c:catAx>
        <c:axId val="25341699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12191"/>
        <c:crosses val="autoZero"/>
        <c:auto val="1"/>
        <c:lblAlgn val="ctr"/>
        <c:lblOffset val="100"/>
        <c:noMultiLvlLbl val="0"/>
      </c:catAx>
      <c:valAx>
        <c:axId val="2534121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1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.xlsx]Sheet4!TXId</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Quantity Purchased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718460944455E-2"/>
          <c:y val="0.20326249968023327"/>
          <c:w val="0.7724356955380578"/>
          <c:h val="0.62948752590110246"/>
        </c:manualLayout>
      </c:layout>
      <c:barChart>
        <c:barDir val="col"/>
        <c:grouping val="clustered"/>
        <c:varyColors val="0"/>
        <c:ser>
          <c:idx val="0"/>
          <c:order val="0"/>
          <c:tx>
            <c:strRef>
              <c:f>Sheet4!$B$3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158</c:v>
                </c:pt>
                <c:pt idx="1">
                  <c:v>252</c:v>
                </c:pt>
                <c:pt idx="2">
                  <c:v>179</c:v>
                </c:pt>
                <c:pt idx="3">
                  <c:v>110</c:v>
                </c:pt>
                <c:pt idx="4">
                  <c:v>84</c:v>
                </c:pt>
                <c:pt idx="5">
                  <c:v>190</c:v>
                </c:pt>
                <c:pt idx="6">
                  <c:v>106</c:v>
                </c:pt>
              </c:numCache>
            </c:numRef>
          </c:val>
          <c:extLst>
            <c:ext xmlns:c16="http://schemas.microsoft.com/office/drawing/2014/chart" uri="{C3380CC4-5D6E-409C-BE32-E72D297353CC}">
              <c16:uniqueId val="{00000000-AFBC-451F-9BD4-F64AE981B9B3}"/>
            </c:ext>
          </c:extLst>
        </c:ser>
        <c:dLbls>
          <c:dLblPos val="outEnd"/>
          <c:showLegendKey val="0"/>
          <c:showVal val="1"/>
          <c:showCatName val="0"/>
          <c:showSerName val="0"/>
          <c:showPercent val="0"/>
          <c:showBubbleSize val="0"/>
        </c:dLbls>
        <c:gapWidth val="4"/>
        <c:overlap val="-27"/>
        <c:axId val="1486084544"/>
        <c:axId val="1486085024"/>
      </c:barChart>
      <c:catAx>
        <c:axId val="148608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85024"/>
        <c:crosses val="autoZero"/>
        <c:auto val="1"/>
        <c:lblAlgn val="ctr"/>
        <c:lblOffset val="100"/>
        <c:noMultiLvlLbl val="0"/>
      </c:catAx>
      <c:valAx>
        <c:axId val="1486085024"/>
        <c:scaling>
          <c:orientation val="minMax"/>
        </c:scaling>
        <c:delete val="1"/>
        <c:axPos val="l"/>
        <c:numFmt formatCode="General" sourceLinked="1"/>
        <c:majorTickMark val="none"/>
        <c:minorTickMark val="none"/>
        <c:tickLblPos val="nextTo"/>
        <c:crossAx val="148608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.xlsx]Sheet6!pvt Rating</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Happiness</a:t>
            </a:r>
            <a:endParaRPr lang="en-IN" b="1"/>
          </a:p>
        </c:rich>
      </c:tx>
      <c:layout>
        <c:manualLayout>
          <c:xMode val="edge"/>
          <c:yMode val="edge"/>
          <c:x val="0.34690771764836065"/>
          <c:y val="1.63534908779712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50000"/>
              <a:lumOff val="50000"/>
            </a:schemeClr>
          </a:solidFill>
          <a:ln>
            <a:noFill/>
          </a:ln>
          <a:effectLst/>
        </c:spPr>
      </c:pivotFmt>
      <c:pivotFmt>
        <c:idx val="19"/>
        <c:spPr>
          <a:solidFill>
            <a:schemeClr val="tx2">
              <a:lumMod val="50000"/>
              <a:lumOff val="50000"/>
            </a:schemeClr>
          </a:solidFill>
          <a:ln>
            <a:noFill/>
          </a:ln>
          <a:effectLst/>
        </c:spPr>
      </c:pivotFmt>
      <c:pivotFmt>
        <c:idx val="20"/>
        <c:spPr>
          <a:solidFill>
            <a:schemeClr val="tx2">
              <a:lumMod val="50000"/>
              <a:lumOff val="50000"/>
            </a:schemeClr>
          </a:solidFill>
          <a:ln>
            <a:noFill/>
          </a:ln>
          <a:effectLst/>
        </c:spPr>
      </c:pivotFmt>
    </c:pivotFmts>
    <c:plotArea>
      <c:layout>
        <c:manualLayout>
          <c:layoutTarget val="inner"/>
          <c:xMode val="edge"/>
          <c:yMode val="edge"/>
          <c:x val="7.6534769493719623E-2"/>
          <c:y val="0.16712641930369093"/>
          <c:w val="0.89391422805674126"/>
          <c:h val="0.70624737380936342"/>
        </c:manualLayout>
      </c:layout>
      <c:barChart>
        <c:barDir val="col"/>
        <c:grouping val="clustered"/>
        <c:varyColors val="0"/>
        <c:ser>
          <c:idx val="0"/>
          <c:order val="0"/>
          <c:tx>
            <c:strRef>
              <c:f>Sheet6!$F$26:$F$27</c:f>
              <c:strCache>
                <c:ptCount val="1"/>
                <c:pt idx="0">
                  <c:v>1</c:v>
                </c:pt>
              </c:strCache>
            </c:strRef>
          </c:tx>
          <c:spPr>
            <a:solidFill>
              <a:srgbClr val="92D050"/>
            </a:solidFill>
            <a:ln>
              <a:noFill/>
            </a:ln>
            <a:effectLst/>
          </c:spPr>
          <c:invertIfNegative val="0"/>
          <c:cat>
            <c:strRef>
              <c:f>Sheet6!$E$28:$E$31</c:f>
              <c:strCache>
                <c:ptCount val="3"/>
                <c:pt idx="0">
                  <c:v>Jan</c:v>
                </c:pt>
                <c:pt idx="1">
                  <c:v>Feb</c:v>
                </c:pt>
                <c:pt idx="2">
                  <c:v>Mar</c:v>
                </c:pt>
              </c:strCache>
            </c:strRef>
          </c:cat>
          <c:val>
            <c:numRef>
              <c:f>Sheet6!$F$28:$F$31</c:f>
              <c:numCache>
                <c:formatCode>General</c:formatCode>
                <c:ptCount val="3"/>
                <c:pt idx="0">
                  <c:v>4</c:v>
                </c:pt>
                <c:pt idx="1">
                  <c:v>2</c:v>
                </c:pt>
                <c:pt idx="2">
                  <c:v>3</c:v>
                </c:pt>
              </c:numCache>
            </c:numRef>
          </c:val>
          <c:extLst>
            <c:ext xmlns:c16="http://schemas.microsoft.com/office/drawing/2014/chart" uri="{C3380CC4-5D6E-409C-BE32-E72D297353CC}">
              <c16:uniqueId val="{00000000-CBC2-4025-834E-33C2E3922D55}"/>
            </c:ext>
          </c:extLst>
        </c:ser>
        <c:ser>
          <c:idx val="1"/>
          <c:order val="1"/>
          <c:tx>
            <c:strRef>
              <c:f>Sheet6!$G$26:$G$27</c:f>
              <c:strCache>
                <c:ptCount val="1"/>
                <c:pt idx="0">
                  <c:v>2</c:v>
                </c:pt>
              </c:strCache>
            </c:strRef>
          </c:tx>
          <c:spPr>
            <a:solidFill>
              <a:srgbClr val="7030A0"/>
            </a:solidFill>
            <a:ln>
              <a:noFill/>
            </a:ln>
            <a:effectLst/>
          </c:spPr>
          <c:invertIfNegative val="0"/>
          <c:cat>
            <c:strRef>
              <c:f>Sheet6!$E$28:$E$31</c:f>
              <c:strCache>
                <c:ptCount val="3"/>
                <c:pt idx="0">
                  <c:v>Jan</c:v>
                </c:pt>
                <c:pt idx="1">
                  <c:v>Feb</c:v>
                </c:pt>
                <c:pt idx="2">
                  <c:v>Mar</c:v>
                </c:pt>
              </c:strCache>
            </c:strRef>
          </c:cat>
          <c:val>
            <c:numRef>
              <c:f>Sheet6!$G$28:$G$31</c:f>
              <c:numCache>
                <c:formatCode>General</c:formatCode>
                <c:ptCount val="3"/>
                <c:pt idx="0">
                  <c:v>19</c:v>
                </c:pt>
                <c:pt idx="1">
                  <c:v>29</c:v>
                </c:pt>
                <c:pt idx="2">
                  <c:v>20</c:v>
                </c:pt>
              </c:numCache>
            </c:numRef>
          </c:val>
          <c:extLst>
            <c:ext xmlns:c16="http://schemas.microsoft.com/office/drawing/2014/chart" uri="{C3380CC4-5D6E-409C-BE32-E72D297353CC}">
              <c16:uniqueId val="{00000001-CBC2-4025-834E-33C2E3922D55}"/>
            </c:ext>
          </c:extLst>
        </c:ser>
        <c:ser>
          <c:idx val="2"/>
          <c:order val="2"/>
          <c:tx>
            <c:strRef>
              <c:f>Sheet6!$H$26:$H$27</c:f>
              <c:strCache>
                <c:ptCount val="1"/>
                <c:pt idx="0">
                  <c:v>3</c:v>
                </c:pt>
              </c:strCache>
            </c:strRef>
          </c:tx>
          <c:spPr>
            <a:solidFill>
              <a:srgbClr val="00B050"/>
            </a:solidFill>
            <a:ln>
              <a:noFill/>
            </a:ln>
            <a:effectLst/>
          </c:spPr>
          <c:invertIfNegative val="0"/>
          <c:cat>
            <c:strRef>
              <c:f>Sheet6!$E$28:$E$31</c:f>
              <c:strCache>
                <c:ptCount val="3"/>
                <c:pt idx="0">
                  <c:v>Jan</c:v>
                </c:pt>
                <c:pt idx="1">
                  <c:v>Feb</c:v>
                </c:pt>
                <c:pt idx="2">
                  <c:v>Mar</c:v>
                </c:pt>
              </c:strCache>
            </c:strRef>
          </c:cat>
          <c:val>
            <c:numRef>
              <c:f>Sheet6!$H$28:$H$31</c:f>
              <c:numCache>
                <c:formatCode>General</c:formatCode>
                <c:ptCount val="3"/>
                <c:pt idx="0">
                  <c:v>79</c:v>
                </c:pt>
                <c:pt idx="1">
                  <c:v>76</c:v>
                </c:pt>
                <c:pt idx="2">
                  <c:v>68</c:v>
                </c:pt>
              </c:numCache>
            </c:numRef>
          </c:val>
          <c:extLst>
            <c:ext xmlns:c16="http://schemas.microsoft.com/office/drawing/2014/chart" uri="{C3380CC4-5D6E-409C-BE32-E72D297353CC}">
              <c16:uniqueId val="{00000002-CBC2-4025-834E-33C2E3922D55}"/>
            </c:ext>
          </c:extLst>
        </c:ser>
        <c:ser>
          <c:idx val="3"/>
          <c:order val="3"/>
          <c:tx>
            <c:strRef>
              <c:f>Sheet6!$I$26:$I$27</c:f>
              <c:strCache>
                <c:ptCount val="1"/>
                <c:pt idx="0">
                  <c:v>4</c:v>
                </c:pt>
              </c:strCache>
            </c:strRef>
          </c:tx>
          <c:spPr>
            <a:solidFill>
              <a:schemeClr val="accent4"/>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6DD0-4B40-9B8D-CD1293EB54AC}"/>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6DD0-4B40-9B8D-CD1293EB54AC}"/>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6DD0-4B40-9B8D-CD1293EB54AC}"/>
              </c:ext>
            </c:extLst>
          </c:dPt>
          <c:cat>
            <c:strRef>
              <c:f>Sheet6!$E$28:$E$31</c:f>
              <c:strCache>
                <c:ptCount val="3"/>
                <c:pt idx="0">
                  <c:v>Jan</c:v>
                </c:pt>
                <c:pt idx="1">
                  <c:v>Feb</c:v>
                </c:pt>
                <c:pt idx="2">
                  <c:v>Mar</c:v>
                </c:pt>
              </c:strCache>
            </c:strRef>
          </c:cat>
          <c:val>
            <c:numRef>
              <c:f>Sheet6!$I$28:$I$31</c:f>
              <c:numCache>
                <c:formatCode>General</c:formatCode>
                <c:ptCount val="3"/>
                <c:pt idx="0">
                  <c:v>144</c:v>
                </c:pt>
                <c:pt idx="1">
                  <c:v>154</c:v>
                </c:pt>
                <c:pt idx="2">
                  <c:v>150</c:v>
                </c:pt>
              </c:numCache>
            </c:numRef>
          </c:val>
          <c:extLst>
            <c:ext xmlns:c16="http://schemas.microsoft.com/office/drawing/2014/chart" uri="{C3380CC4-5D6E-409C-BE32-E72D297353CC}">
              <c16:uniqueId val="{00000013-CBC2-4025-834E-33C2E3922D55}"/>
            </c:ext>
          </c:extLst>
        </c:ser>
        <c:ser>
          <c:idx val="4"/>
          <c:order val="4"/>
          <c:tx>
            <c:strRef>
              <c:f>Sheet6!$J$26:$J$27</c:f>
              <c:strCache>
                <c:ptCount val="1"/>
                <c:pt idx="0">
                  <c:v>5</c:v>
                </c:pt>
              </c:strCache>
            </c:strRef>
          </c:tx>
          <c:spPr>
            <a:solidFill>
              <a:srgbClr val="FF6600"/>
            </a:solidFill>
            <a:ln>
              <a:noFill/>
            </a:ln>
            <a:effectLst/>
          </c:spPr>
          <c:invertIfNegative val="0"/>
          <c:cat>
            <c:strRef>
              <c:f>Sheet6!$E$28:$E$31</c:f>
              <c:strCache>
                <c:ptCount val="3"/>
                <c:pt idx="0">
                  <c:v>Jan</c:v>
                </c:pt>
                <c:pt idx="1">
                  <c:v>Feb</c:v>
                </c:pt>
                <c:pt idx="2">
                  <c:v>Mar</c:v>
                </c:pt>
              </c:strCache>
            </c:strRef>
          </c:cat>
          <c:val>
            <c:numRef>
              <c:f>Sheet6!$J$28:$J$31</c:f>
              <c:numCache>
                <c:formatCode>General</c:formatCode>
                <c:ptCount val="3"/>
                <c:pt idx="0">
                  <c:v>90</c:v>
                </c:pt>
                <c:pt idx="1">
                  <c:v>118</c:v>
                </c:pt>
                <c:pt idx="2">
                  <c:v>123</c:v>
                </c:pt>
              </c:numCache>
            </c:numRef>
          </c:val>
          <c:extLst>
            <c:ext xmlns:c16="http://schemas.microsoft.com/office/drawing/2014/chart" uri="{C3380CC4-5D6E-409C-BE32-E72D297353CC}">
              <c16:uniqueId val="{00000014-CBC2-4025-834E-33C2E3922D55}"/>
            </c:ext>
          </c:extLst>
        </c:ser>
        <c:dLbls>
          <c:showLegendKey val="0"/>
          <c:showVal val="0"/>
          <c:showCatName val="0"/>
          <c:showSerName val="0"/>
          <c:showPercent val="0"/>
          <c:showBubbleSize val="0"/>
        </c:dLbls>
        <c:gapWidth val="219"/>
        <c:overlap val="-27"/>
        <c:axId val="253392031"/>
        <c:axId val="253385311"/>
      </c:barChart>
      <c:catAx>
        <c:axId val="25339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85311"/>
        <c:crosses val="autoZero"/>
        <c:auto val="1"/>
        <c:lblAlgn val="ctr"/>
        <c:lblOffset val="100"/>
        <c:noMultiLvlLbl val="0"/>
      </c:catAx>
      <c:valAx>
        <c:axId val="25338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9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.xlsx]Sheet6!pvt TXID</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Shipping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c:f>
              <c:strCache>
                <c:ptCount val="1"/>
                <c:pt idx="0">
                  <c:v>Total</c:v>
                </c:pt>
              </c:strCache>
            </c:strRef>
          </c:tx>
          <c:spPr>
            <a:solidFill>
              <a:schemeClr val="tx2">
                <a:lumMod val="75000"/>
                <a:lumOff val="25000"/>
              </a:schemeClr>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83</c:v>
                </c:pt>
                <c:pt idx="1">
                  <c:v>390</c:v>
                </c:pt>
                <c:pt idx="2">
                  <c:v>256</c:v>
                </c:pt>
                <c:pt idx="3">
                  <c:v>158</c:v>
                </c:pt>
                <c:pt idx="4">
                  <c:v>92</c:v>
                </c:pt>
                <c:pt idx="5">
                  <c:v>37</c:v>
                </c:pt>
                <c:pt idx="6">
                  <c:v>26</c:v>
                </c:pt>
                <c:pt idx="7">
                  <c:v>12</c:v>
                </c:pt>
                <c:pt idx="8">
                  <c:v>7</c:v>
                </c:pt>
                <c:pt idx="9">
                  <c:v>4</c:v>
                </c:pt>
                <c:pt idx="10">
                  <c:v>2</c:v>
                </c:pt>
                <c:pt idx="11">
                  <c:v>4</c:v>
                </c:pt>
                <c:pt idx="12">
                  <c:v>1</c:v>
                </c:pt>
                <c:pt idx="13">
                  <c:v>3</c:v>
                </c:pt>
                <c:pt idx="14">
                  <c:v>4</c:v>
                </c:pt>
              </c:numCache>
            </c:numRef>
          </c:val>
          <c:extLst>
            <c:ext xmlns:c16="http://schemas.microsoft.com/office/drawing/2014/chart" uri="{C3380CC4-5D6E-409C-BE32-E72D297353CC}">
              <c16:uniqueId val="{00000000-725C-496E-B54B-43DEC1F65789}"/>
            </c:ext>
          </c:extLst>
        </c:ser>
        <c:dLbls>
          <c:dLblPos val="ctr"/>
          <c:showLegendKey val="0"/>
          <c:showVal val="0"/>
          <c:showCatName val="0"/>
          <c:showSerName val="0"/>
          <c:showPercent val="0"/>
          <c:showBubbleSize val="0"/>
        </c:dLbls>
        <c:gapWidth val="6"/>
        <c:overlap val="100"/>
        <c:axId val="253370431"/>
        <c:axId val="253371391"/>
      </c:barChart>
      <c:catAx>
        <c:axId val="25337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3371391"/>
        <c:crosses val="autoZero"/>
        <c:auto val="1"/>
        <c:lblAlgn val="ctr"/>
        <c:lblOffset val="100"/>
        <c:noMultiLvlLbl val="0"/>
      </c:catAx>
      <c:valAx>
        <c:axId val="25337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337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.xlsx]Sheet2!Gender</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Gender Split</a:t>
            </a:r>
            <a:endParaRPr lang="en-US" b="1"/>
          </a:p>
        </c:rich>
      </c:tx>
      <c:layout>
        <c:manualLayout>
          <c:xMode val="edge"/>
          <c:yMode val="edge"/>
          <c:x val="0.3543384286753184"/>
          <c:y val="4.322730014452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lt1"/>
            </a:solidFill>
            <a:round/>
          </a:ln>
          <a:effectLst/>
        </c:spPr>
        <c:marker>
          <c:symbol val="none"/>
        </c:marker>
        <c:dLbl>
          <c:idx val="0"/>
          <c:spPr>
            <a:noFill/>
            <a:ln>
              <a:noFill/>
            </a:ln>
            <a:effectLst/>
          </c:spPr>
          <c:txPr>
            <a:bodyPr rot="-222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75000"/>
              <a:lumOff val="25000"/>
            </a:schemeClr>
          </a:solidFill>
          <a:ln w="28575" cap="rnd">
            <a:solidFill>
              <a:schemeClr val="lt1"/>
            </a:solidFill>
            <a:round/>
          </a:ln>
          <a:effectLst/>
        </c:spPr>
      </c:pivotFmt>
      <c:pivotFmt>
        <c:idx val="2"/>
        <c:spPr>
          <a:solidFill>
            <a:srgbClr val="FF6600"/>
          </a:solidFill>
          <a:ln w="28575" cap="rnd">
            <a:solidFill>
              <a:schemeClr val="lt1"/>
            </a:solidFill>
            <a:round/>
          </a:ln>
          <a:effectLst/>
        </c:spPr>
      </c:pivotFmt>
      <c:pivotFmt>
        <c:idx val="3"/>
        <c:spPr>
          <a:solidFill>
            <a:schemeClr val="tx2">
              <a:lumMod val="25000"/>
              <a:lumOff val="75000"/>
            </a:schemeClr>
          </a:solidFill>
          <a:ln w="28575" cap="rnd">
            <a:solidFill>
              <a:schemeClr val="lt1"/>
            </a:solidFill>
            <a:round/>
          </a:ln>
          <a:effectLst/>
        </c:spPr>
      </c:pivotFmt>
      <c:pivotFmt>
        <c:idx val="4"/>
        <c:spPr>
          <a:solidFill>
            <a:srgbClr val="92D050"/>
          </a:solidFill>
          <a:ln w="28575" cap="rnd">
            <a:solidFill>
              <a:schemeClr val="lt1"/>
            </a:solidFill>
            <a:round/>
          </a:ln>
          <a:effectLst/>
        </c:spPr>
      </c:pivotFmt>
      <c:pivotFmt>
        <c:idx val="5"/>
        <c:spPr>
          <a:solidFill>
            <a:schemeClr val="accent1"/>
          </a:solidFill>
          <a:ln w="28575" cap="rnd">
            <a:solidFill>
              <a:schemeClr val="lt1"/>
            </a:solidFill>
            <a:round/>
          </a:ln>
          <a:effectLst/>
        </c:spPr>
        <c:marker>
          <c:symbol val="none"/>
        </c:marker>
        <c:dLbl>
          <c:idx val="0"/>
          <c:spPr>
            <a:noFill/>
            <a:ln>
              <a:noFill/>
            </a:ln>
            <a:effectLst/>
          </c:spPr>
          <c:txPr>
            <a:bodyPr rot="-222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2">
              <a:lumMod val="75000"/>
              <a:lumOff val="25000"/>
            </a:schemeClr>
          </a:solidFill>
          <a:ln w="28575" cap="rnd">
            <a:solidFill>
              <a:schemeClr val="lt1"/>
            </a:solidFill>
            <a:round/>
          </a:ln>
          <a:effectLst/>
        </c:spPr>
      </c:pivotFmt>
      <c:pivotFmt>
        <c:idx val="7"/>
        <c:spPr>
          <a:solidFill>
            <a:srgbClr val="FF6600"/>
          </a:solidFill>
          <a:ln w="28575" cap="rnd">
            <a:solidFill>
              <a:schemeClr val="lt1"/>
            </a:solidFill>
            <a:round/>
          </a:ln>
          <a:effectLst/>
        </c:spPr>
      </c:pivotFmt>
      <c:pivotFmt>
        <c:idx val="8"/>
        <c:spPr>
          <a:solidFill>
            <a:srgbClr val="92D050"/>
          </a:solidFill>
          <a:ln w="28575" cap="rnd">
            <a:solidFill>
              <a:schemeClr val="lt1"/>
            </a:solidFill>
            <a:round/>
          </a:ln>
          <a:effectLst/>
        </c:spPr>
      </c:pivotFmt>
      <c:pivotFmt>
        <c:idx val="9"/>
        <c:spPr>
          <a:solidFill>
            <a:schemeClr val="tx2">
              <a:lumMod val="25000"/>
              <a:lumOff val="75000"/>
            </a:schemeClr>
          </a:solidFill>
          <a:ln w="28575" cap="rnd">
            <a:solidFill>
              <a:schemeClr val="lt1"/>
            </a:solidFill>
            <a:round/>
          </a:ln>
          <a:effectLst/>
        </c:spPr>
      </c:pivotFmt>
      <c:pivotFmt>
        <c:idx val="10"/>
        <c:spPr>
          <a:solidFill>
            <a:schemeClr val="accent1"/>
          </a:solidFill>
          <a:ln w="28575" cap="rnd">
            <a:solidFill>
              <a:schemeClr val="lt1"/>
            </a:solidFill>
            <a:round/>
          </a:ln>
          <a:effectLst/>
        </c:spPr>
        <c:marker>
          <c:symbol val="none"/>
        </c:marker>
        <c:dLbl>
          <c:idx val="0"/>
          <c:spPr>
            <a:noFill/>
            <a:ln>
              <a:noFill/>
            </a:ln>
            <a:effectLst/>
          </c:spPr>
          <c:txPr>
            <a:bodyPr rot="-222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75000"/>
              <a:lumOff val="25000"/>
            </a:schemeClr>
          </a:solidFill>
          <a:ln w="28575" cap="rnd">
            <a:solidFill>
              <a:schemeClr val="lt1"/>
            </a:solidFill>
            <a:round/>
          </a:ln>
          <a:effectLst/>
        </c:spPr>
      </c:pivotFmt>
      <c:pivotFmt>
        <c:idx val="12"/>
        <c:spPr>
          <a:solidFill>
            <a:srgbClr val="FF6600"/>
          </a:solidFill>
          <a:ln w="28575" cap="rnd">
            <a:solidFill>
              <a:schemeClr val="lt1"/>
            </a:solidFill>
            <a:round/>
          </a:ln>
          <a:effectLst/>
        </c:spPr>
      </c:pivotFmt>
      <c:pivotFmt>
        <c:idx val="13"/>
        <c:spPr>
          <a:solidFill>
            <a:srgbClr val="92D050"/>
          </a:solidFill>
          <a:ln w="28575" cap="rnd">
            <a:solidFill>
              <a:schemeClr val="lt1"/>
            </a:solidFill>
            <a:round/>
          </a:ln>
          <a:effectLst/>
        </c:spPr>
      </c:pivotFmt>
      <c:pivotFmt>
        <c:idx val="14"/>
        <c:spPr>
          <a:solidFill>
            <a:schemeClr val="tx2">
              <a:lumMod val="25000"/>
              <a:lumOff val="75000"/>
            </a:schemeClr>
          </a:solidFill>
          <a:ln w="28575" cap="rnd">
            <a:solidFill>
              <a:schemeClr val="lt1"/>
            </a:solidFill>
            <a:round/>
          </a:ln>
          <a:effectLst/>
        </c:spPr>
      </c:pivotFmt>
    </c:pivotFmts>
    <c:plotArea>
      <c:layout>
        <c:manualLayout>
          <c:layoutTarget val="inner"/>
          <c:xMode val="edge"/>
          <c:yMode val="edge"/>
          <c:x val="4.4687778748438593E-2"/>
          <c:y val="0.12121510156023171"/>
          <c:w val="0.89652126130518983"/>
          <c:h val="0.87878489843976826"/>
        </c:manualLayout>
      </c:layout>
      <c:doughnutChart>
        <c:varyColors val="1"/>
        <c:ser>
          <c:idx val="0"/>
          <c:order val="0"/>
          <c:tx>
            <c:strRef>
              <c:f>Sheet2!$S$4</c:f>
              <c:strCache>
                <c:ptCount val="1"/>
                <c:pt idx="0">
                  <c:v>Total</c:v>
                </c:pt>
              </c:strCache>
            </c:strRef>
          </c:tx>
          <c:spPr>
            <a:ln w="28575" cap="rnd">
              <a:round/>
            </a:ln>
          </c:spPr>
          <c:explosion val="1"/>
          <c:dPt>
            <c:idx val="0"/>
            <c:bubble3D val="0"/>
            <c:spPr>
              <a:solidFill>
                <a:schemeClr val="tx2">
                  <a:lumMod val="75000"/>
                  <a:lumOff val="25000"/>
                </a:schemeClr>
              </a:solidFill>
              <a:ln w="28575" cap="rnd">
                <a:solidFill>
                  <a:schemeClr val="lt1"/>
                </a:solidFill>
                <a:round/>
              </a:ln>
              <a:effectLst/>
            </c:spPr>
            <c:extLst>
              <c:ext xmlns:c16="http://schemas.microsoft.com/office/drawing/2014/chart" uri="{C3380CC4-5D6E-409C-BE32-E72D297353CC}">
                <c16:uniqueId val="{00000001-FE84-4C03-9123-7BED10C10F98}"/>
              </c:ext>
            </c:extLst>
          </c:dPt>
          <c:dPt>
            <c:idx val="1"/>
            <c:bubble3D val="0"/>
            <c:spPr>
              <a:solidFill>
                <a:srgbClr val="FF6600"/>
              </a:solidFill>
              <a:ln w="28575" cap="rnd">
                <a:solidFill>
                  <a:schemeClr val="lt1"/>
                </a:solidFill>
                <a:round/>
              </a:ln>
              <a:effectLst/>
            </c:spPr>
            <c:extLst>
              <c:ext xmlns:c16="http://schemas.microsoft.com/office/drawing/2014/chart" uri="{C3380CC4-5D6E-409C-BE32-E72D297353CC}">
                <c16:uniqueId val="{00000003-FE84-4C03-9123-7BED10C10F98}"/>
              </c:ext>
            </c:extLst>
          </c:dPt>
          <c:dPt>
            <c:idx val="2"/>
            <c:bubble3D val="0"/>
            <c:spPr>
              <a:solidFill>
                <a:srgbClr val="92D050"/>
              </a:solidFill>
              <a:ln w="28575" cap="rnd">
                <a:solidFill>
                  <a:schemeClr val="lt1"/>
                </a:solidFill>
                <a:round/>
              </a:ln>
              <a:effectLst/>
            </c:spPr>
            <c:extLst>
              <c:ext xmlns:c16="http://schemas.microsoft.com/office/drawing/2014/chart" uri="{C3380CC4-5D6E-409C-BE32-E72D297353CC}">
                <c16:uniqueId val="{00000005-FE84-4C03-9123-7BED10C10F98}"/>
              </c:ext>
            </c:extLst>
          </c:dPt>
          <c:dPt>
            <c:idx val="3"/>
            <c:bubble3D val="0"/>
            <c:spPr>
              <a:solidFill>
                <a:schemeClr val="tx2">
                  <a:lumMod val="25000"/>
                  <a:lumOff val="75000"/>
                </a:schemeClr>
              </a:solidFill>
              <a:ln w="28575" cap="rnd">
                <a:solidFill>
                  <a:schemeClr val="lt1"/>
                </a:solidFill>
                <a:round/>
              </a:ln>
              <a:effectLst/>
            </c:spPr>
            <c:extLst>
              <c:ext xmlns:c16="http://schemas.microsoft.com/office/drawing/2014/chart" uri="{C3380CC4-5D6E-409C-BE32-E72D297353CC}">
                <c16:uniqueId val="{00000007-FE84-4C03-9123-7BED10C10F98}"/>
              </c:ext>
            </c:extLst>
          </c:dPt>
          <c:dLbls>
            <c:spPr>
              <a:noFill/>
              <a:ln>
                <a:noFill/>
              </a:ln>
              <a:effectLst/>
            </c:spPr>
            <c:txPr>
              <a:bodyPr rot="-222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Sheet2!$R$5:$R$9</c:f>
              <c:strCache>
                <c:ptCount val="4"/>
                <c:pt idx="0">
                  <c:v>Female</c:v>
                </c:pt>
                <c:pt idx="1">
                  <c:v>Male</c:v>
                </c:pt>
                <c:pt idx="2">
                  <c:v>Other</c:v>
                </c:pt>
                <c:pt idx="3">
                  <c:v>Unknown</c:v>
                </c:pt>
              </c:strCache>
            </c:strRef>
          </c:cat>
          <c:val>
            <c:numRef>
              <c:f>Sheet2!$S$5:$S$9</c:f>
              <c:numCache>
                <c:formatCode>General</c:formatCode>
                <c:ptCount val="4"/>
                <c:pt idx="0">
                  <c:v>2834</c:v>
                </c:pt>
                <c:pt idx="1">
                  <c:v>2137</c:v>
                </c:pt>
                <c:pt idx="2">
                  <c:v>129</c:v>
                </c:pt>
                <c:pt idx="3">
                  <c:v>369</c:v>
                </c:pt>
              </c:numCache>
            </c:numRef>
          </c:val>
          <c:extLst>
            <c:ext xmlns:c16="http://schemas.microsoft.com/office/drawing/2014/chart" uri="{C3380CC4-5D6E-409C-BE32-E72D297353CC}">
              <c16:uniqueId val="{00000008-FE84-4C03-9123-7BED10C10F98}"/>
            </c:ext>
          </c:extLst>
        </c:ser>
        <c:dLbls>
          <c:showLegendKey val="0"/>
          <c:showVal val="1"/>
          <c:showCatName val="0"/>
          <c:showSerName val="0"/>
          <c:showPercent val="0"/>
          <c:showBubbleSize val="0"/>
          <c:showLeaderLines val="0"/>
        </c:dLbls>
        <c:firstSliceAng val="330"/>
        <c:holeSize val="5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.xlsx]Sheet4!TXId</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705161854765E-2"/>
          <c:y val="0.25402559055118112"/>
          <c:w val="0.7724356955380578"/>
          <c:h val="0.53811424613589964"/>
        </c:manualLayout>
      </c:layout>
      <c:barChart>
        <c:barDir val="col"/>
        <c:grouping val="clustered"/>
        <c:varyColors val="0"/>
        <c:ser>
          <c:idx val="0"/>
          <c:order val="0"/>
          <c:tx>
            <c:strRef>
              <c:f>Sheet4!$B$3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158</c:v>
                </c:pt>
                <c:pt idx="1">
                  <c:v>252</c:v>
                </c:pt>
                <c:pt idx="2">
                  <c:v>179</c:v>
                </c:pt>
                <c:pt idx="3">
                  <c:v>110</c:v>
                </c:pt>
                <c:pt idx="4">
                  <c:v>84</c:v>
                </c:pt>
                <c:pt idx="5">
                  <c:v>190</c:v>
                </c:pt>
                <c:pt idx="6">
                  <c:v>106</c:v>
                </c:pt>
              </c:numCache>
            </c:numRef>
          </c:val>
          <c:extLst>
            <c:ext xmlns:c16="http://schemas.microsoft.com/office/drawing/2014/chart" uri="{C3380CC4-5D6E-409C-BE32-E72D297353CC}">
              <c16:uniqueId val="{00000000-3AEE-4977-9366-6509367DE588}"/>
            </c:ext>
          </c:extLst>
        </c:ser>
        <c:dLbls>
          <c:dLblPos val="outEnd"/>
          <c:showLegendKey val="0"/>
          <c:showVal val="1"/>
          <c:showCatName val="0"/>
          <c:showSerName val="0"/>
          <c:showPercent val="0"/>
          <c:showBubbleSize val="0"/>
        </c:dLbls>
        <c:gapWidth val="4"/>
        <c:overlap val="-27"/>
        <c:axId val="1486084544"/>
        <c:axId val="1486085024"/>
      </c:barChart>
      <c:catAx>
        <c:axId val="148608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85024"/>
        <c:crosses val="autoZero"/>
        <c:auto val="1"/>
        <c:lblAlgn val="ctr"/>
        <c:lblOffset val="100"/>
        <c:noMultiLvlLbl val="0"/>
      </c:catAx>
      <c:valAx>
        <c:axId val="1486085024"/>
        <c:scaling>
          <c:orientation val="minMax"/>
        </c:scaling>
        <c:delete val="1"/>
        <c:axPos val="l"/>
        <c:numFmt formatCode="General" sourceLinked="1"/>
        <c:majorTickMark val="none"/>
        <c:minorTickMark val="none"/>
        <c:tickLblPos val="nextTo"/>
        <c:crossAx val="148608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.xlsx]Sheet2!pvt Gender</c:name>
    <c:fmtId val="0"/>
  </c:pivotSource>
  <c:chart>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Sheet2!$B$3:$B$4</c:f>
              <c:strCache>
                <c:ptCount val="1"/>
                <c:pt idx="0">
                  <c:v>Female</c:v>
                </c:pt>
              </c:strCache>
            </c:strRef>
          </c:tx>
          <c:spPr>
            <a:solidFill>
              <a:schemeClr val="accent1"/>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Sheet2!$B$5:$B$25</c:f>
              <c:numCache>
                <c:formatCode>General</c:formatCode>
                <c:ptCount val="20"/>
                <c:pt idx="0">
                  <c:v>323</c:v>
                </c:pt>
                <c:pt idx="1">
                  <c:v>365</c:v>
                </c:pt>
                <c:pt idx="2">
                  <c:v>261</c:v>
                </c:pt>
                <c:pt idx="3">
                  <c:v>251</c:v>
                </c:pt>
                <c:pt idx="4">
                  <c:v>225</c:v>
                </c:pt>
                <c:pt idx="5">
                  <c:v>214</c:v>
                </c:pt>
                <c:pt idx="6">
                  <c:v>181</c:v>
                </c:pt>
                <c:pt idx="7">
                  <c:v>186</c:v>
                </c:pt>
                <c:pt idx="8">
                  <c:v>115</c:v>
                </c:pt>
                <c:pt idx="9">
                  <c:v>96</c:v>
                </c:pt>
                <c:pt idx="10">
                  <c:v>52</c:v>
                </c:pt>
                <c:pt idx="11">
                  <c:v>116</c:v>
                </c:pt>
                <c:pt idx="12">
                  <c:v>117</c:v>
                </c:pt>
                <c:pt idx="13">
                  <c:v>40</c:v>
                </c:pt>
                <c:pt idx="14">
                  <c:v>72</c:v>
                </c:pt>
                <c:pt idx="15">
                  <c:v>66</c:v>
                </c:pt>
                <c:pt idx="16">
                  <c:v>52</c:v>
                </c:pt>
                <c:pt idx="17">
                  <c:v>55</c:v>
                </c:pt>
                <c:pt idx="18">
                  <c:v>25</c:v>
                </c:pt>
                <c:pt idx="19">
                  <c:v>22</c:v>
                </c:pt>
              </c:numCache>
            </c:numRef>
          </c:val>
          <c:extLst>
            <c:ext xmlns:c16="http://schemas.microsoft.com/office/drawing/2014/chart" uri="{C3380CC4-5D6E-409C-BE32-E72D297353CC}">
              <c16:uniqueId val="{00000000-D5BC-4143-98BD-1B53C715A910}"/>
            </c:ext>
          </c:extLst>
        </c:ser>
        <c:ser>
          <c:idx val="1"/>
          <c:order val="1"/>
          <c:tx>
            <c:strRef>
              <c:f>Sheet2!$C$3:$C$4</c:f>
              <c:strCache>
                <c:ptCount val="1"/>
                <c:pt idx="0">
                  <c:v>Male</c:v>
                </c:pt>
              </c:strCache>
            </c:strRef>
          </c:tx>
          <c:spPr>
            <a:solidFill>
              <a:schemeClr val="accent2"/>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Sheet2!$C$5:$C$25</c:f>
              <c:numCache>
                <c:formatCode>General</c:formatCode>
                <c:ptCount val="20"/>
                <c:pt idx="0">
                  <c:v>374</c:v>
                </c:pt>
                <c:pt idx="1">
                  <c:v>336</c:v>
                </c:pt>
                <c:pt idx="2">
                  <c:v>174</c:v>
                </c:pt>
                <c:pt idx="3">
                  <c:v>177</c:v>
                </c:pt>
                <c:pt idx="4">
                  <c:v>140</c:v>
                </c:pt>
                <c:pt idx="5">
                  <c:v>98</c:v>
                </c:pt>
                <c:pt idx="6">
                  <c:v>72</c:v>
                </c:pt>
                <c:pt idx="7">
                  <c:v>79</c:v>
                </c:pt>
                <c:pt idx="8">
                  <c:v>117</c:v>
                </c:pt>
                <c:pt idx="9">
                  <c:v>86</c:v>
                </c:pt>
                <c:pt idx="10">
                  <c:v>114</c:v>
                </c:pt>
                <c:pt idx="11">
                  <c:v>38</c:v>
                </c:pt>
                <c:pt idx="12">
                  <c:v>44</c:v>
                </c:pt>
                <c:pt idx="13">
                  <c:v>79</c:v>
                </c:pt>
                <c:pt idx="14">
                  <c:v>41</c:v>
                </c:pt>
                <c:pt idx="15">
                  <c:v>44</c:v>
                </c:pt>
                <c:pt idx="16">
                  <c:v>57</c:v>
                </c:pt>
                <c:pt idx="17">
                  <c:v>9</c:v>
                </c:pt>
                <c:pt idx="18">
                  <c:v>36</c:v>
                </c:pt>
                <c:pt idx="19">
                  <c:v>22</c:v>
                </c:pt>
              </c:numCache>
            </c:numRef>
          </c:val>
          <c:extLst>
            <c:ext xmlns:c16="http://schemas.microsoft.com/office/drawing/2014/chart" uri="{C3380CC4-5D6E-409C-BE32-E72D297353CC}">
              <c16:uniqueId val="{0000000E-D5BC-4143-98BD-1B53C715A910}"/>
            </c:ext>
          </c:extLst>
        </c:ser>
        <c:ser>
          <c:idx val="2"/>
          <c:order val="2"/>
          <c:tx>
            <c:strRef>
              <c:f>Sheet2!$D$3:$D$4</c:f>
              <c:strCache>
                <c:ptCount val="1"/>
                <c:pt idx="0">
                  <c:v>Other</c:v>
                </c:pt>
              </c:strCache>
            </c:strRef>
          </c:tx>
          <c:spPr>
            <a:solidFill>
              <a:schemeClr val="accent3"/>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Sheet2!$D$5:$D$25</c:f>
              <c:numCache>
                <c:formatCode>General</c:formatCode>
                <c:ptCount val="20"/>
                <c:pt idx="0">
                  <c:v>8</c:v>
                </c:pt>
                <c:pt idx="1">
                  <c:v>36</c:v>
                </c:pt>
                <c:pt idx="3">
                  <c:v>15</c:v>
                </c:pt>
                <c:pt idx="6">
                  <c:v>5</c:v>
                </c:pt>
                <c:pt idx="7">
                  <c:v>2</c:v>
                </c:pt>
                <c:pt idx="8">
                  <c:v>7</c:v>
                </c:pt>
                <c:pt idx="9">
                  <c:v>5</c:v>
                </c:pt>
                <c:pt idx="10">
                  <c:v>13</c:v>
                </c:pt>
                <c:pt idx="11">
                  <c:v>10</c:v>
                </c:pt>
                <c:pt idx="13">
                  <c:v>10</c:v>
                </c:pt>
                <c:pt idx="14">
                  <c:v>15</c:v>
                </c:pt>
                <c:pt idx="17">
                  <c:v>3</c:v>
                </c:pt>
              </c:numCache>
            </c:numRef>
          </c:val>
          <c:extLst>
            <c:ext xmlns:c16="http://schemas.microsoft.com/office/drawing/2014/chart" uri="{C3380CC4-5D6E-409C-BE32-E72D297353CC}">
              <c16:uniqueId val="{0000000F-D5BC-4143-98BD-1B53C715A910}"/>
            </c:ext>
          </c:extLst>
        </c:ser>
        <c:ser>
          <c:idx val="3"/>
          <c:order val="3"/>
          <c:tx>
            <c:strRef>
              <c:f>Sheet2!$E$3:$E$4</c:f>
              <c:strCache>
                <c:ptCount val="1"/>
                <c:pt idx="0">
                  <c:v>Unknown</c:v>
                </c:pt>
              </c:strCache>
            </c:strRef>
          </c:tx>
          <c:spPr>
            <a:solidFill>
              <a:schemeClr val="accent4"/>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Sheet2!$E$5:$E$25</c:f>
              <c:numCache>
                <c:formatCode>General</c:formatCode>
                <c:ptCount val="20"/>
                <c:pt idx="0">
                  <c:v>133</c:v>
                </c:pt>
                <c:pt idx="1">
                  <c:v>62</c:v>
                </c:pt>
                <c:pt idx="2">
                  <c:v>29</c:v>
                </c:pt>
                <c:pt idx="4">
                  <c:v>4</c:v>
                </c:pt>
                <c:pt idx="5">
                  <c:v>12</c:v>
                </c:pt>
                <c:pt idx="6">
                  <c:v>29</c:v>
                </c:pt>
                <c:pt idx="7">
                  <c:v>12</c:v>
                </c:pt>
                <c:pt idx="8">
                  <c:v>16</c:v>
                </c:pt>
                <c:pt idx="9">
                  <c:v>5</c:v>
                </c:pt>
                <c:pt idx="11">
                  <c:v>13</c:v>
                </c:pt>
                <c:pt idx="13">
                  <c:v>8</c:v>
                </c:pt>
                <c:pt idx="14">
                  <c:v>6</c:v>
                </c:pt>
                <c:pt idx="15">
                  <c:v>10</c:v>
                </c:pt>
                <c:pt idx="16">
                  <c:v>6</c:v>
                </c:pt>
                <c:pt idx="17">
                  <c:v>24</c:v>
                </c:pt>
              </c:numCache>
            </c:numRef>
          </c:val>
          <c:extLst>
            <c:ext xmlns:c16="http://schemas.microsoft.com/office/drawing/2014/chart" uri="{C3380CC4-5D6E-409C-BE32-E72D297353CC}">
              <c16:uniqueId val="{00000000-4F94-4CFA-BED2-04423398C72A}"/>
            </c:ext>
          </c:extLst>
        </c:ser>
        <c:dLbls>
          <c:showLegendKey val="0"/>
          <c:showVal val="0"/>
          <c:showCatName val="0"/>
          <c:showSerName val="0"/>
          <c:showPercent val="0"/>
          <c:showBubbleSize val="0"/>
        </c:dLbls>
        <c:gapWidth val="150"/>
        <c:overlap val="100"/>
        <c:axId val="253416991"/>
        <c:axId val="253412191"/>
      </c:barChart>
      <c:catAx>
        <c:axId val="25341699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12191"/>
        <c:crosses val="autoZero"/>
        <c:auto val="1"/>
        <c:lblAlgn val="ctr"/>
        <c:lblOffset val="100"/>
        <c:noMultiLvlLbl val="0"/>
      </c:catAx>
      <c:valAx>
        <c:axId val="2534121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1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.xlsx]Sheet2!Gender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Gender Split</a:t>
            </a:r>
            <a:endParaRPr lang="en-US" b="1"/>
          </a:p>
        </c:rich>
      </c:tx>
      <c:layout>
        <c:manualLayout>
          <c:xMode val="edge"/>
          <c:yMode val="edge"/>
          <c:x val="0.32247245944730513"/>
          <c:y val="0.12486553366155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lt1"/>
            </a:solidFill>
            <a:round/>
          </a:ln>
          <a:effectLst/>
        </c:spPr>
        <c:marker>
          <c:symbol val="none"/>
        </c:marker>
        <c:dLbl>
          <c:idx val="0"/>
          <c:spPr>
            <a:noFill/>
            <a:ln>
              <a:noFill/>
            </a:ln>
            <a:effectLst/>
          </c:spPr>
          <c:txPr>
            <a:bodyPr rot="-222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75000"/>
              <a:lumOff val="25000"/>
            </a:schemeClr>
          </a:solidFill>
          <a:ln w="28575" cap="rnd">
            <a:solidFill>
              <a:schemeClr val="lt1"/>
            </a:solidFill>
            <a:round/>
          </a:ln>
          <a:effectLst/>
        </c:spPr>
      </c:pivotFmt>
      <c:pivotFmt>
        <c:idx val="2"/>
        <c:spPr>
          <a:solidFill>
            <a:srgbClr val="FF6600"/>
          </a:solidFill>
          <a:ln w="28575" cap="rnd">
            <a:solidFill>
              <a:schemeClr val="lt1"/>
            </a:solidFill>
            <a:round/>
          </a:ln>
          <a:effectLst/>
        </c:spPr>
      </c:pivotFmt>
      <c:pivotFmt>
        <c:idx val="3"/>
        <c:spPr>
          <a:solidFill>
            <a:schemeClr val="tx2">
              <a:lumMod val="25000"/>
              <a:lumOff val="75000"/>
            </a:schemeClr>
          </a:solidFill>
          <a:ln w="28575" cap="rnd">
            <a:solidFill>
              <a:schemeClr val="lt1"/>
            </a:solidFill>
            <a:round/>
          </a:ln>
          <a:effectLst/>
        </c:spPr>
      </c:pivotFmt>
      <c:pivotFmt>
        <c:idx val="4"/>
        <c:spPr>
          <a:solidFill>
            <a:srgbClr val="92D050"/>
          </a:solidFill>
          <a:ln w="28575" cap="rnd">
            <a:solidFill>
              <a:schemeClr val="lt1"/>
            </a:solidFill>
            <a:round/>
          </a:ln>
          <a:effectLst/>
        </c:spPr>
      </c:pivotFmt>
    </c:pivotFmts>
    <c:plotArea>
      <c:layout>
        <c:manualLayout>
          <c:layoutTarget val="inner"/>
          <c:xMode val="edge"/>
          <c:yMode val="edge"/>
          <c:x val="0.21463945590295636"/>
          <c:y val="0.25551896271809688"/>
          <c:w val="0.56846436235302455"/>
          <c:h val="0.6840309442697049"/>
        </c:manualLayout>
      </c:layout>
      <c:doughnutChart>
        <c:varyColors val="1"/>
        <c:ser>
          <c:idx val="0"/>
          <c:order val="0"/>
          <c:tx>
            <c:strRef>
              <c:f>Sheet2!$S$4</c:f>
              <c:strCache>
                <c:ptCount val="1"/>
                <c:pt idx="0">
                  <c:v>Total</c:v>
                </c:pt>
              </c:strCache>
            </c:strRef>
          </c:tx>
          <c:spPr>
            <a:ln w="28575" cap="rnd">
              <a:round/>
            </a:ln>
          </c:spPr>
          <c:dPt>
            <c:idx val="0"/>
            <c:bubble3D val="0"/>
            <c:spPr>
              <a:solidFill>
                <a:schemeClr val="tx2">
                  <a:lumMod val="75000"/>
                  <a:lumOff val="25000"/>
                </a:schemeClr>
              </a:solidFill>
              <a:ln w="28575" cap="rnd">
                <a:solidFill>
                  <a:schemeClr val="lt1"/>
                </a:solidFill>
                <a:round/>
              </a:ln>
              <a:effectLst/>
            </c:spPr>
            <c:extLst>
              <c:ext xmlns:c16="http://schemas.microsoft.com/office/drawing/2014/chart" uri="{C3380CC4-5D6E-409C-BE32-E72D297353CC}">
                <c16:uniqueId val="{00000002-9989-43D3-9B24-39BAF012C30C}"/>
              </c:ext>
            </c:extLst>
          </c:dPt>
          <c:dPt>
            <c:idx val="1"/>
            <c:bubble3D val="0"/>
            <c:spPr>
              <a:solidFill>
                <a:srgbClr val="FF6600"/>
              </a:solidFill>
              <a:ln w="28575" cap="rnd">
                <a:solidFill>
                  <a:schemeClr val="lt1"/>
                </a:solidFill>
                <a:round/>
              </a:ln>
              <a:effectLst/>
            </c:spPr>
            <c:extLst>
              <c:ext xmlns:c16="http://schemas.microsoft.com/office/drawing/2014/chart" uri="{C3380CC4-5D6E-409C-BE32-E72D297353CC}">
                <c16:uniqueId val="{00000003-9989-43D3-9B24-39BAF012C30C}"/>
              </c:ext>
            </c:extLst>
          </c:dPt>
          <c:dPt>
            <c:idx val="2"/>
            <c:bubble3D val="0"/>
            <c:spPr>
              <a:solidFill>
                <a:srgbClr val="92D050"/>
              </a:solidFill>
              <a:ln w="28575" cap="rnd">
                <a:solidFill>
                  <a:schemeClr val="lt1"/>
                </a:solidFill>
                <a:round/>
              </a:ln>
              <a:effectLst/>
            </c:spPr>
            <c:extLst>
              <c:ext xmlns:c16="http://schemas.microsoft.com/office/drawing/2014/chart" uri="{C3380CC4-5D6E-409C-BE32-E72D297353CC}">
                <c16:uniqueId val="{00000005-9989-43D3-9B24-39BAF012C30C}"/>
              </c:ext>
            </c:extLst>
          </c:dPt>
          <c:dPt>
            <c:idx val="3"/>
            <c:bubble3D val="0"/>
            <c:spPr>
              <a:solidFill>
                <a:schemeClr val="tx2">
                  <a:lumMod val="25000"/>
                  <a:lumOff val="75000"/>
                </a:schemeClr>
              </a:solidFill>
              <a:ln w="28575" cap="rnd">
                <a:solidFill>
                  <a:schemeClr val="lt1"/>
                </a:solidFill>
                <a:round/>
              </a:ln>
              <a:effectLst/>
            </c:spPr>
            <c:extLst>
              <c:ext xmlns:c16="http://schemas.microsoft.com/office/drawing/2014/chart" uri="{C3380CC4-5D6E-409C-BE32-E72D297353CC}">
                <c16:uniqueId val="{00000004-9989-43D3-9B24-39BAF012C30C}"/>
              </c:ext>
            </c:extLst>
          </c:dPt>
          <c:dLbls>
            <c:spPr>
              <a:noFill/>
              <a:ln>
                <a:noFill/>
              </a:ln>
              <a:effectLst/>
            </c:spPr>
            <c:txPr>
              <a:bodyPr rot="-222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Sheet2!$R$5:$R$9</c:f>
              <c:strCache>
                <c:ptCount val="4"/>
                <c:pt idx="0">
                  <c:v>Female</c:v>
                </c:pt>
                <c:pt idx="1">
                  <c:v>Male</c:v>
                </c:pt>
                <c:pt idx="2">
                  <c:v>Other</c:v>
                </c:pt>
                <c:pt idx="3">
                  <c:v>Unknown</c:v>
                </c:pt>
              </c:strCache>
            </c:strRef>
          </c:cat>
          <c:val>
            <c:numRef>
              <c:f>Sheet2!$S$5:$S$9</c:f>
              <c:numCache>
                <c:formatCode>General</c:formatCode>
                <c:ptCount val="4"/>
                <c:pt idx="0">
                  <c:v>2834</c:v>
                </c:pt>
                <c:pt idx="1">
                  <c:v>2137</c:v>
                </c:pt>
                <c:pt idx="2">
                  <c:v>129</c:v>
                </c:pt>
                <c:pt idx="3">
                  <c:v>369</c:v>
                </c:pt>
              </c:numCache>
            </c:numRef>
          </c:val>
          <c:extLst>
            <c:ext xmlns:c16="http://schemas.microsoft.com/office/drawing/2014/chart" uri="{C3380CC4-5D6E-409C-BE32-E72D297353CC}">
              <c16:uniqueId val="{00000000-9989-43D3-9B24-39BAF012C30C}"/>
            </c:ext>
          </c:extLst>
        </c:ser>
        <c:dLbls>
          <c:showLegendKey val="0"/>
          <c:showVal val="1"/>
          <c:showCatName val="0"/>
          <c:showSerName val="0"/>
          <c:showPercent val="0"/>
          <c:showBubbleSize val="0"/>
          <c:showLeaderLines val="0"/>
        </c:dLbls>
        <c:firstSliceAng val="330"/>
        <c:holeSize val="5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.xlsx]Sheet2!pvt Gender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Popular Products</a:t>
            </a:r>
            <a:endParaRPr lang="en-IN" b="1"/>
          </a:p>
        </c:rich>
      </c:tx>
      <c:layout>
        <c:manualLayout>
          <c:xMode val="edge"/>
          <c:yMode val="edge"/>
          <c:x val="0.36857754631844103"/>
          <c:y val="2.2883070711891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66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66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FF660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tx2">
              <a:lumMod val="25000"/>
              <a:lumOff val="75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92D05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44241037376057E-2"/>
          <c:y val="0.18033120992584725"/>
          <c:w val="0.66701838471564057"/>
          <c:h val="0.7693542629679242"/>
        </c:manualLayout>
      </c:layout>
      <c:barChart>
        <c:barDir val="bar"/>
        <c:grouping val="stacked"/>
        <c:varyColors val="0"/>
        <c:ser>
          <c:idx val="0"/>
          <c:order val="0"/>
          <c:tx>
            <c:strRef>
              <c:f>Sheet2!$B$3:$B$4</c:f>
              <c:strCache>
                <c:ptCount val="1"/>
                <c:pt idx="0">
                  <c:v>Female</c:v>
                </c:pt>
              </c:strCache>
            </c:strRef>
          </c:tx>
          <c:spPr>
            <a:solidFill>
              <a:schemeClr val="tx2">
                <a:lumMod val="75000"/>
                <a:lumOff val="25000"/>
              </a:schemeClr>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Sheet2!$B$5:$B$25</c:f>
              <c:numCache>
                <c:formatCode>General</c:formatCode>
                <c:ptCount val="20"/>
                <c:pt idx="0">
                  <c:v>323</c:v>
                </c:pt>
                <c:pt idx="1">
                  <c:v>365</c:v>
                </c:pt>
                <c:pt idx="2">
                  <c:v>261</c:v>
                </c:pt>
                <c:pt idx="3">
                  <c:v>251</c:v>
                </c:pt>
                <c:pt idx="4">
                  <c:v>225</c:v>
                </c:pt>
                <c:pt idx="5">
                  <c:v>214</c:v>
                </c:pt>
                <c:pt idx="6">
                  <c:v>181</c:v>
                </c:pt>
                <c:pt idx="7">
                  <c:v>186</c:v>
                </c:pt>
                <c:pt idx="8">
                  <c:v>115</c:v>
                </c:pt>
                <c:pt idx="9">
                  <c:v>96</c:v>
                </c:pt>
                <c:pt idx="10">
                  <c:v>52</c:v>
                </c:pt>
                <c:pt idx="11">
                  <c:v>116</c:v>
                </c:pt>
                <c:pt idx="12">
                  <c:v>117</c:v>
                </c:pt>
                <c:pt idx="13">
                  <c:v>40</c:v>
                </c:pt>
                <c:pt idx="14">
                  <c:v>72</c:v>
                </c:pt>
                <c:pt idx="15">
                  <c:v>66</c:v>
                </c:pt>
                <c:pt idx="16">
                  <c:v>52</c:v>
                </c:pt>
                <c:pt idx="17">
                  <c:v>55</c:v>
                </c:pt>
                <c:pt idx="18">
                  <c:v>25</c:v>
                </c:pt>
                <c:pt idx="19">
                  <c:v>22</c:v>
                </c:pt>
              </c:numCache>
            </c:numRef>
          </c:val>
          <c:extLst>
            <c:ext xmlns:c16="http://schemas.microsoft.com/office/drawing/2014/chart" uri="{C3380CC4-5D6E-409C-BE32-E72D297353CC}">
              <c16:uniqueId val="{00000000-B205-4264-9D9B-49BC3DF5F77E}"/>
            </c:ext>
          </c:extLst>
        </c:ser>
        <c:ser>
          <c:idx val="1"/>
          <c:order val="1"/>
          <c:tx>
            <c:strRef>
              <c:f>Sheet2!$C$3:$C$4</c:f>
              <c:strCache>
                <c:ptCount val="1"/>
                <c:pt idx="0">
                  <c:v>Male</c:v>
                </c:pt>
              </c:strCache>
            </c:strRef>
          </c:tx>
          <c:spPr>
            <a:solidFill>
              <a:srgbClr val="FF6600"/>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Sheet2!$C$5:$C$25</c:f>
              <c:numCache>
                <c:formatCode>General</c:formatCode>
                <c:ptCount val="20"/>
                <c:pt idx="0">
                  <c:v>374</c:v>
                </c:pt>
                <c:pt idx="1">
                  <c:v>336</c:v>
                </c:pt>
                <c:pt idx="2">
                  <c:v>174</c:v>
                </c:pt>
                <c:pt idx="3">
                  <c:v>177</c:v>
                </c:pt>
                <c:pt idx="4">
                  <c:v>140</c:v>
                </c:pt>
                <c:pt idx="5">
                  <c:v>98</c:v>
                </c:pt>
                <c:pt idx="6">
                  <c:v>72</c:v>
                </c:pt>
                <c:pt idx="7">
                  <c:v>79</c:v>
                </c:pt>
                <c:pt idx="8">
                  <c:v>117</c:v>
                </c:pt>
                <c:pt idx="9">
                  <c:v>86</c:v>
                </c:pt>
                <c:pt idx="10">
                  <c:v>114</c:v>
                </c:pt>
                <c:pt idx="11">
                  <c:v>38</c:v>
                </c:pt>
                <c:pt idx="12">
                  <c:v>44</c:v>
                </c:pt>
                <c:pt idx="13">
                  <c:v>79</c:v>
                </c:pt>
                <c:pt idx="14">
                  <c:v>41</c:v>
                </c:pt>
                <c:pt idx="15">
                  <c:v>44</c:v>
                </c:pt>
                <c:pt idx="16">
                  <c:v>57</c:v>
                </c:pt>
                <c:pt idx="17">
                  <c:v>9</c:v>
                </c:pt>
                <c:pt idx="18">
                  <c:v>36</c:v>
                </c:pt>
                <c:pt idx="19">
                  <c:v>22</c:v>
                </c:pt>
              </c:numCache>
            </c:numRef>
          </c:val>
          <c:extLst>
            <c:ext xmlns:c16="http://schemas.microsoft.com/office/drawing/2014/chart" uri="{C3380CC4-5D6E-409C-BE32-E72D297353CC}">
              <c16:uniqueId val="{00000001-B205-4264-9D9B-49BC3DF5F77E}"/>
            </c:ext>
          </c:extLst>
        </c:ser>
        <c:ser>
          <c:idx val="2"/>
          <c:order val="2"/>
          <c:tx>
            <c:strRef>
              <c:f>Sheet2!$D$3:$D$4</c:f>
              <c:strCache>
                <c:ptCount val="1"/>
                <c:pt idx="0">
                  <c:v>Other</c:v>
                </c:pt>
              </c:strCache>
            </c:strRef>
          </c:tx>
          <c:spPr>
            <a:solidFill>
              <a:srgbClr val="92D050"/>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Sheet2!$D$5:$D$25</c:f>
              <c:numCache>
                <c:formatCode>General</c:formatCode>
                <c:ptCount val="20"/>
                <c:pt idx="0">
                  <c:v>8</c:v>
                </c:pt>
                <c:pt idx="1">
                  <c:v>36</c:v>
                </c:pt>
                <c:pt idx="3">
                  <c:v>15</c:v>
                </c:pt>
                <c:pt idx="6">
                  <c:v>5</c:v>
                </c:pt>
                <c:pt idx="7">
                  <c:v>2</c:v>
                </c:pt>
                <c:pt idx="8">
                  <c:v>7</c:v>
                </c:pt>
                <c:pt idx="9">
                  <c:v>5</c:v>
                </c:pt>
                <c:pt idx="10">
                  <c:v>13</c:v>
                </c:pt>
                <c:pt idx="11">
                  <c:v>10</c:v>
                </c:pt>
                <c:pt idx="13">
                  <c:v>10</c:v>
                </c:pt>
                <c:pt idx="14">
                  <c:v>15</c:v>
                </c:pt>
                <c:pt idx="17">
                  <c:v>3</c:v>
                </c:pt>
              </c:numCache>
            </c:numRef>
          </c:val>
          <c:extLst>
            <c:ext xmlns:c16="http://schemas.microsoft.com/office/drawing/2014/chart" uri="{C3380CC4-5D6E-409C-BE32-E72D297353CC}">
              <c16:uniqueId val="{00000002-B205-4264-9D9B-49BC3DF5F77E}"/>
            </c:ext>
          </c:extLst>
        </c:ser>
        <c:ser>
          <c:idx val="3"/>
          <c:order val="3"/>
          <c:tx>
            <c:strRef>
              <c:f>Sheet2!$E$3:$E$4</c:f>
              <c:strCache>
                <c:ptCount val="1"/>
                <c:pt idx="0">
                  <c:v>Unknown</c:v>
                </c:pt>
              </c:strCache>
            </c:strRef>
          </c:tx>
          <c:spPr>
            <a:solidFill>
              <a:schemeClr val="tx2">
                <a:lumMod val="50000"/>
                <a:lumOff val="50000"/>
              </a:schemeClr>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Sheet2!$E$5:$E$25</c:f>
              <c:numCache>
                <c:formatCode>General</c:formatCode>
                <c:ptCount val="20"/>
                <c:pt idx="0">
                  <c:v>133</c:v>
                </c:pt>
                <c:pt idx="1">
                  <c:v>62</c:v>
                </c:pt>
                <c:pt idx="2">
                  <c:v>29</c:v>
                </c:pt>
                <c:pt idx="4">
                  <c:v>4</c:v>
                </c:pt>
                <c:pt idx="5">
                  <c:v>12</c:v>
                </c:pt>
                <c:pt idx="6">
                  <c:v>29</c:v>
                </c:pt>
                <c:pt idx="7">
                  <c:v>12</c:v>
                </c:pt>
                <c:pt idx="8">
                  <c:v>16</c:v>
                </c:pt>
                <c:pt idx="9">
                  <c:v>5</c:v>
                </c:pt>
                <c:pt idx="11">
                  <c:v>13</c:v>
                </c:pt>
                <c:pt idx="13">
                  <c:v>8</c:v>
                </c:pt>
                <c:pt idx="14">
                  <c:v>6</c:v>
                </c:pt>
                <c:pt idx="15">
                  <c:v>10</c:v>
                </c:pt>
                <c:pt idx="16">
                  <c:v>6</c:v>
                </c:pt>
                <c:pt idx="17">
                  <c:v>24</c:v>
                </c:pt>
              </c:numCache>
            </c:numRef>
          </c:val>
          <c:extLst>
            <c:ext xmlns:c16="http://schemas.microsoft.com/office/drawing/2014/chart" uri="{C3380CC4-5D6E-409C-BE32-E72D297353CC}">
              <c16:uniqueId val="{00000004-B205-4264-9D9B-49BC3DF5F77E}"/>
            </c:ext>
          </c:extLst>
        </c:ser>
        <c:dLbls>
          <c:dLblPos val="ctr"/>
          <c:showLegendKey val="0"/>
          <c:showVal val="0"/>
          <c:showCatName val="0"/>
          <c:showSerName val="0"/>
          <c:showPercent val="0"/>
          <c:showBubbleSize val="0"/>
        </c:dLbls>
        <c:gapWidth val="150"/>
        <c:overlap val="100"/>
        <c:axId val="253416991"/>
        <c:axId val="253412191"/>
      </c:barChart>
      <c:catAx>
        <c:axId val="25341699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12191"/>
        <c:crosses val="autoZero"/>
        <c:auto val="1"/>
        <c:lblAlgn val="ctr"/>
        <c:lblOffset val="100"/>
        <c:noMultiLvlLbl val="0"/>
      </c:catAx>
      <c:valAx>
        <c:axId val="2534121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1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.xlsx]Sheet6!pvt TXID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c:f>
              <c:strCache>
                <c:ptCount val="1"/>
                <c:pt idx="0">
                  <c:v>Total</c:v>
                </c:pt>
              </c:strCache>
            </c:strRef>
          </c:tx>
          <c:spPr>
            <a:solidFill>
              <a:schemeClr val="tx2">
                <a:lumMod val="75000"/>
                <a:lumOff val="25000"/>
              </a:schemeClr>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83</c:v>
                </c:pt>
                <c:pt idx="1">
                  <c:v>390</c:v>
                </c:pt>
                <c:pt idx="2">
                  <c:v>256</c:v>
                </c:pt>
                <c:pt idx="3">
                  <c:v>158</c:v>
                </c:pt>
                <c:pt idx="4">
                  <c:v>92</c:v>
                </c:pt>
                <c:pt idx="5">
                  <c:v>37</c:v>
                </c:pt>
                <c:pt idx="6">
                  <c:v>26</c:v>
                </c:pt>
                <c:pt idx="7">
                  <c:v>12</c:v>
                </c:pt>
                <c:pt idx="8">
                  <c:v>7</c:v>
                </c:pt>
                <c:pt idx="9">
                  <c:v>4</c:v>
                </c:pt>
                <c:pt idx="10">
                  <c:v>2</c:v>
                </c:pt>
                <c:pt idx="11">
                  <c:v>4</c:v>
                </c:pt>
                <c:pt idx="12">
                  <c:v>1</c:v>
                </c:pt>
                <c:pt idx="13">
                  <c:v>3</c:v>
                </c:pt>
                <c:pt idx="14">
                  <c:v>4</c:v>
                </c:pt>
              </c:numCache>
            </c:numRef>
          </c:val>
          <c:extLst>
            <c:ext xmlns:c16="http://schemas.microsoft.com/office/drawing/2014/chart" uri="{C3380CC4-5D6E-409C-BE32-E72D297353CC}">
              <c16:uniqueId val="{00000000-02C0-4D17-A3F3-ECC178F61186}"/>
            </c:ext>
          </c:extLst>
        </c:ser>
        <c:dLbls>
          <c:showLegendKey val="0"/>
          <c:showVal val="0"/>
          <c:showCatName val="0"/>
          <c:showSerName val="0"/>
          <c:showPercent val="0"/>
          <c:showBubbleSize val="0"/>
        </c:dLbls>
        <c:gapWidth val="6"/>
        <c:overlap val="100"/>
        <c:axId val="253370431"/>
        <c:axId val="253371391"/>
      </c:barChart>
      <c:catAx>
        <c:axId val="25337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71391"/>
        <c:crosses val="autoZero"/>
        <c:auto val="1"/>
        <c:lblAlgn val="ctr"/>
        <c:lblOffset val="100"/>
        <c:noMultiLvlLbl val="0"/>
      </c:catAx>
      <c:valAx>
        <c:axId val="25337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7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.xlsx]Sheet6!pvt Rating</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Sheet6!$F$26:$F$27</c:f>
              <c:strCache>
                <c:ptCount val="1"/>
                <c:pt idx="0">
                  <c:v>1</c:v>
                </c:pt>
              </c:strCache>
            </c:strRef>
          </c:tx>
          <c:spPr>
            <a:solidFill>
              <a:schemeClr val="accent1"/>
            </a:solidFill>
            <a:ln>
              <a:noFill/>
            </a:ln>
            <a:effectLst/>
          </c:spPr>
          <c:invertIfNegative val="0"/>
          <c:cat>
            <c:strRef>
              <c:f>Sheet6!$E$28:$E$31</c:f>
              <c:strCache>
                <c:ptCount val="3"/>
                <c:pt idx="0">
                  <c:v>Jan</c:v>
                </c:pt>
                <c:pt idx="1">
                  <c:v>Feb</c:v>
                </c:pt>
                <c:pt idx="2">
                  <c:v>Mar</c:v>
                </c:pt>
              </c:strCache>
            </c:strRef>
          </c:cat>
          <c:val>
            <c:numRef>
              <c:f>Sheet6!$F$28:$F$31</c:f>
              <c:numCache>
                <c:formatCode>General</c:formatCode>
                <c:ptCount val="3"/>
                <c:pt idx="0">
                  <c:v>4</c:v>
                </c:pt>
                <c:pt idx="1">
                  <c:v>2</c:v>
                </c:pt>
                <c:pt idx="2">
                  <c:v>3</c:v>
                </c:pt>
              </c:numCache>
            </c:numRef>
          </c:val>
          <c:extLst>
            <c:ext xmlns:c16="http://schemas.microsoft.com/office/drawing/2014/chart" uri="{C3380CC4-5D6E-409C-BE32-E72D297353CC}">
              <c16:uniqueId val="{00000000-24D8-4FE9-9B57-393151E9001F}"/>
            </c:ext>
          </c:extLst>
        </c:ser>
        <c:ser>
          <c:idx val="1"/>
          <c:order val="1"/>
          <c:tx>
            <c:strRef>
              <c:f>Sheet6!$G$26:$G$27</c:f>
              <c:strCache>
                <c:ptCount val="1"/>
                <c:pt idx="0">
                  <c:v>2</c:v>
                </c:pt>
              </c:strCache>
            </c:strRef>
          </c:tx>
          <c:spPr>
            <a:solidFill>
              <a:schemeClr val="accent2"/>
            </a:solidFill>
            <a:ln>
              <a:noFill/>
            </a:ln>
            <a:effectLst/>
          </c:spPr>
          <c:invertIfNegative val="0"/>
          <c:cat>
            <c:strRef>
              <c:f>Sheet6!$E$28:$E$31</c:f>
              <c:strCache>
                <c:ptCount val="3"/>
                <c:pt idx="0">
                  <c:v>Jan</c:v>
                </c:pt>
                <c:pt idx="1">
                  <c:v>Feb</c:v>
                </c:pt>
                <c:pt idx="2">
                  <c:v>Mar</c:v>
                </c:pt>
              </c:strCache>
            </c:strRef>
          </c:cat>
          <c:val>
            <c:numRef>
              <c:f>Sheet6!$G$28:$G$31</c:f>
              <c:numCache>
                <c:formatCode>General</c:formatCode>
                <c:ptCount val="3"/>
                <c:pt idx="0">
                  <c:v>19</c:v>
                </c:pt>
                <c:pt idx="1">
                  <c:v>29</c:v>
                </c:pt>
                <c:pt idx="2">
                  <c:v>20</c:v>
                </c:pt>
              </c:numCache>
            </c:numRef>
          </c:val>
          <c:extLst>
            <c:ext xmlns:c16="http://schemas.microsoft.com/office/drawing/2014/chart" uri="{C3380CC4-5D6E-409C-BE32-E72D297353CC}">
              <c16:uniqueId val="{00000001-24D8-4FE9-9B57-393151E9001F}"/>
            </c:ext>
          </c:extLst>
        </c:ser>
        <c:ser>
          <c:idx val="2"/>
          <c:order val="2"/>
          <c:tx>
            <c:strRef>
              <c:f>Sheet6!$H$26:$H$27</c:f>
              <c:strCache>
                <c:ptCount val="1"/>
                <c:pt idx="0">
                  <c:v>3</c:v>
                </c:pt>
              </c:strCache>
            </c:strRef>
          </c:tx>
          <c:spPr>
            <a:solidFill>
              <a:schemeClr val="accent3"/>
            </a:solidFill>
            <a:ln>
              <a:noFill/>
            </a:ln>
            <a:effectLst/>
          </c:spPr>
          <c:invertIfNegative val="0"/>
          <c:cat>
            <c:strRef>
              <c:f>Sheet6!$E$28:$E$31</c:f>
              <c:strCache>
                <c:ptCount val="3"/>
                <c:pt idx="0">
                  <c:v>Jan</c:v>
                </c:pt>
                <c:pt idx="1">
                  <c:v>Feb</c:v>
                </c:pt>
                <c:pt idx="2">
                  <c:v>Mar</c:v>
                </c:pt>
              </c:strCache>
            </c:strRef>
          </c:cat>
          <c:val>
            <c:numRef>
              <c:f>Sheet6!$H$28:$H$31</c:f>
              <c:numCache>
                <c:formatCode>General</c:formatCode>
                <c:ptCount val="3"/>
                <c:pt idx="0">
                  <c:v>79</c:v>
                </c:pt>
                <c:pt idx="1">
                  <c:v>76</c:v>
                </c:pt>
                <c:pt idx="2">
                  <c:v>68</c:v>
                </c:pt>
              </c:numCache>
            </c:numRef>
          </c:val>
          <c:extLst>
            <c:ext xmlns:c16="http://schemas.microsoft.com/office/drawing/2014/chart" uri="{C3380CC4-5D6E-409C-BE32-E72D297353CC}">
              <c16:uniqueId val="{00000002-24D8-4FE9-9B57-393151E9001F}"/>
            </c:ext>
          </c:extLst>
        </c:ser>
        <c:ser>
          <c:idx val="3"/>
          <c:order val="3"/>
          <c:tx>
            <c:strRef>
              <c:f>Sheet6!$I$26:$I$27</c:f>
              <c:strCache>
                <c:ptCount val="1"/>
                <c:pt idx="0">
                  <c:v>4</c:v>
                </c:pt>
              </c:strCache>
            </c:strRef>
          </c:tx>
          <c:spPr>
            <a:solidFill>
              <a:schemeClr val="accent4"/>
            </a:solidFill>
            <a:ln>
              <a:noFill/>
            </a:ln>
            <a:effectLst/>
          </c:spPr>
          <c:invertIfNegative val="0"/>
          <c:cat>
            <c:strRef>
              <c:f>Sheet6!$E$28:$E$31</c:f>
              <c:strCache>
                <c:ptCount val="3"/>
                <c:pt idx="0">
                  <c:v>Jan</c:v>
                </c:pt>
                <c:pt idx="1">
                  <c:v>Feb</c:v>
                </c:pt>
                <c:pt idx="2">
                  <c:v>Mar</c:v>
                </c:pt>
              </c:strCache>
            </c:strRef>
          </c:cat>
          <c:val>
            <c:numRef>
              <c:f>Sheet6!$I$28:$I$31</c:f>
              <c:numCache>
                <c:formatCode>General</c:formatCode>
                <c:ptCount val="3"/>
                <c:pt idx="0">
                  <c:v>144</c:v>
                </c:pt>
                <c:pt idx="1">
                  <c:v>154</c:v>
                </c:pt>
                <c:pt idx="2">
                  <c:v>150</c:v>
                </c:pt>
              </c:numCache>
            </c:numRef>
          </c:val>
          <c:extLst>
            <c:ext xmlns:c16="http://schemas.microsoft.com/office/drawing/2014/chart" uri="{C3380CC4-5D6E-409C-BE32-E72D297353CC}">
              <c16:uniqueId val="{00000010-24D8-4FE9-9B57-393151E9001F}"/>
            </c:ext>
          </c:extLst>
        </c:ser>
        <c:ser>
          <c:idx val="4"/>
          <c:order val="4"/>
          <c:tx>
            <c:strRef>
              <c:f>Sheet6!$J$26:$J$27</c:f>
              <c:strCache>
                <c:ptCount val="1"/>
                <c:pt idx="0">
                  <c:v>5</c:v>
                </c:pt>
              </c:strCache>
            </c:strRef>
          </c:tx>
          <c:spPr>
            <a:solidFill>
              <a:schemeClr val="accent5"/>
            </a:solidFill>
            <a:ln>
              <a:noFill/>
            </a:ln>
            <a:effectLst/>
          </c:spPr>
          <c:invertIfNegative val="0"/>
          <c:cat>
            <c:strRef>
              <c:f>Sheet6!$E$28:$E$31</c:f>
              <c:strCache>
                <c:ptCount val="3"/>
                <c:pt idx="0">
                  <c:v>Jan</c:v>
                </c:pt>
                <c:pt idx="1">
                  <c:v>Feb</c:v>
                </c:pt>
                <c:pt idx="2">
                  <c:v>Mar</c:v>
                </c:pt>
              </c:strCache>
            </c:strRef>
          </c:cat>
          <c:val>
            <c:numRef>
              <c:f>Sheet6!$J$28:$J$31</c:f>
              <c:numCache>
                <c:formatCode>General</c:formatCode>
                <c:ptCount val="3"/>
                <c:pt idx="0">
                  <c:v>90</c:v>
                </c:pt>
                <c:pt idx="1">
                  <c:v>118</c:v>
                </c:pt>
                <c:pt idx="2">
                  <c:v>123</c:v>
                </c:pt>
              </c:numCache>
            </c:numRef>
          </c:val>
          <c:extLst>
            <c:ext xmlns:c16="http://schemas.microsoft.com/office/drawing/2014/chart" uri="{C3380CC4-5D6E-409C-BE32-E72D297353CC}">
              <c16:uniqueId val="{00000011-24D8-4FE9-9B57-393151E9001F}"/>
            </c:ext>
          </c:extLst>
        </c:ser>
        <c:dLbls>
          <c:showLegendKey val="0"/>
          <c:showVal val="0"/>
          <c:showCatName val="0"/>
          <c:showSerName val="0"/>
          <c:showPercent val="0"/>
          <c:showBubbleSize val="0"/>
        </c:dLbls>
        <c:gapWidth val="219"/>
        <c:overlap val="-27"/>
        <c:axId val="253392031"/>
        <c:axId val="253385311"/>
      </c:barChart>
      <c:catAx>
        <c:axId val="25339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85311"/>
        <c:crosses val="autoZero"/>
        <c:auto val="1"/>
        <c:lblAlgn val="ctr"/>
        <c:lblOffset val="100"/>
        <c:noMultiLvlLbl val="0"/>
      </c:catAx>
      <c:valAx>
        <c:axId val="25338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9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.xlsx]Sheet1!pvt Quantity &amp; Amount </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13</a:t>
            </a:r>
            <a:r>
              <a:rPr lang="en-IN" b="1" baseline="0"/>
              <a:t> weeks sales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Sheet1!$B$11:$B$24</c:f>
              <c:numCache>
                <c:formatCode>General</c:formatCode>
                <c:ptCount val="13"/>
                <c:pt idx="0">
                  <c:v>251</c:v>
                </c:pt>
                <c:pt idx="1">
                  <c:v>380</c:v>
                </c:pt>
                <c:pt idx="2">
                  <c:v>377</c:v>
                </c:pt>
                <c:pt idx="3">
                  <c:v>495</c:v>
                </c:pt>
                <c:pt idx="4">
                  <c:v>365</c:v>
                </c:pt>
                <c:pt idx="5">
                  <c:v>515</c:v>
                </c:pt>
                <c:pt idx="6">
                  <c:v>385</c:v>
                </c:pt>
                <c:pt idx="7">
                  <c:v>510</c:v>
                </c:pt>
                <c:pt idx="8">
                  <c:v>410</c:v>
                </c:pt>
                <c:pt idx="9">
                  <c:v>492</c:v>
                </c:pt>
                <c:pt idx="10">
                  <c:v>375</c:v>
                </c:pt>
                <c:pt idx="11">
                  <c:v>512</c:v>
                </c:pt>
                <c:pt idx="12">
                  <c:v>402</c:v>
                </c:pt>
              </c:numCache>
            </c:numRef>
          </c:val>
          <c:smooth val="0"/>
          <c:extLst>
            <c:ext xmlns:c16="http://schemas.microsoft.com/office/drawing/2014/chart" uri="{C3380CC4-5D6E-409C-BE32-E72D297353CC}">
              <c16:uniqueId val="{00000000-6D85-4C98-8C39-B1439EDE7AE5}"/>
            </c:ext>
          </c:extLst>
        </c:ser>
        <c:dLbls>
          <c:showLegendKey val="0"/>
          <c:showVal val="0"/>
          <c:showCatName val="0"/>
          <c:showSerName val="0"/>
          <c:showPercent val="0"/>
          <c:showBubbleSize val="0"/>
        </c:dLbls>
        <c:marker val="1"/>
        <c:smooth val="0"/>
        <c:axId val="1331697360"/>
        <c:axId val="1331698320"/>
      </c:lineChart>
      <c:lineChart>
        <c:grouping val="standard"/>
        <c:varyColors val="0"/>
        <c:ser>
          <c:idx val="1"/>
          <c:order val="1"/>
          <c:tx>
            <c:strRef>
              <c:f>Sheet1!$C$10</c:f>
              <c:strCache>
                <c:ptCount val="1"/>
                <c:pt idx="0">
                  <c:v>Sum of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Sheet1!$C$11:$C$24</c:f>
              <c:numCache>
                <c:formatCode>[$$-409]#,##0</c:formatCode>
                <c:ptCount val="13"/>
                <c:pt idx="0">
                  <c:v>16895.2</c:v>
                </c:pt>
                <c:pt idx="1">
                  <c:v>18036.500000000004</c:v>
                </c:pt>
                <c:pt idx="2">
                  <c:v>20912.100000000002</c:v>
                </c:pt>
                <c:pt idx="3">
                  <c:v>23083.300000000007</c:v>
                </c:pt>
                <c:pt idx="4">
                  <c:v>18873.900000000005</c:v>
                </c:pt>
                <c:pt idx="5">
                  <c:v>30363.000000000011</c:v>
                </c:pt>
                <c:pt idx="6">
                  <c:v>20359.700000000004</c:v>
                </c:pt>
                <c:pt idx="7">
                  <c:v>28477.5</c:v>
                </c:pt>
                <c:pt idx="8">
                  <c:v>19090.500000000004</c:v>
                </c:pt>
                <c:pt idx="9">
                  <c:v>31651.1</c:v>
                </c:pt>
                <c:pt idx="10">
                  <c:v>22033.500000000004</c:v>
                </c:pt>
                <c:pt idx="11">
                  <c:v>30696.500000000004</c:v>
                </c:pt>
                <c:pt idx="12">
                  <c:v>20584.699999999993</c:v>
                </c:pt>
              </c:numCache>
            </c:numRef>
          </c:val>
          <c:smooth val="0"/>
          <c:extLst>
            <c:ext xmlns:c16="http://schemas.microsoft.com/office/drawing/2014/chart" uri="{C3380CC4-5D6E-409C-BE32-E72D297353CC}">
              <c16:uniqueId val="{00000001-6D85-4C98-8C39-B1439EDE7AE5}"/>
            </c:ext>
          </c:extLst>
        </c:ser>
        <c:dLbls>
          <c:showLegendKey val="0"/>
          <c:showVal val="0"/>
          <c:showCatName val="0"/>
          <c:showSerName val="0"/>
          <c:showPercent val="0"/>
          <c:showBubbleSize val="0"/>
        </c:dLbls>
        <c:marker val="1"/>
        <c:smooth val="0"/>
        <c:axId val="1942472992"/>
        <c:axId val="1942474912"/>
      </c:lineChart>
      <c:catAx>
        <c:axId val="13316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98320"/>
        <c:crosses val="autoZero"/>
        <c:auto val="1"/>
        <c:lblAlgn val="ctr"/>
        <c:lblOffset val="100"/>
        <c:noMultiLvlLbl val="0"/>
      </c:catAx>
      <c:valAx>
        <c:axId val="133169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97360"/>
        <c:crosses val="autoZero"/>
        <c:crossBetween val="between"/>
      </c:valAx>
      <c:valAx>
        <c:axId val="1942474912"/>
        <c:scaling>
          <c:orientation val="minMax"/>
        </c:scaling>
        <c:delete val="0"/>
        <c:axPos val="r"/>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72992"/>
        <c:crosses val="max"/>
        <c:crossBetween val="between"/>
      </c:valAx>
      <c:catAx>
        <c:axId val="1942472992"/>
        <c:scaling>
          <c:orientation val="minMax"/>
        </c:scaling>
        <c:delete val="1"/>
        <c:axPos val="b"/>
        <c:numFmt formatCode="General" sourceLinked="1"/>
        <c:majorTickMark val="none"/>
        <c:minorTickMark val="none"/>
        <c:tickLblPos val="nextTo"/>
        <c:crossAx val="19424749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.xlsx]Sheet2!pvt Gender</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Popular Products</a:t>
            </a:r>
            <a:endParaRPr lang="en-IN" b="1"/>
          </a:p>
        </c:rich>
      </c:tx>
      <c:layout>
        <c:manualLayout>
          <c:xMode val="edge"/>
          <c:yMode val="edge"/>
          <c:x val="0.36857754631844103"/>
          <c:y val="2.2883070711891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66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66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tx2">
              <a:lumMod val="25000"/>
              <a:lumOff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FF660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tx2">
              <a:lumMod val="25000"/>
              <a:lumOff val="75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92D05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44241037376057E-2"/>
          <c:y val="0.18033120992584725"/>
          <c:w val="0.66701838471564057"/>
          <c:h val="0.7693542629679242"/>
        </c:manualLayout>
      </c:layout>
      <c:barChart>
        <c:barDir val="bar"/>
        <c:grouping val="stacked"/>
        <c:varyColors val="0"/>
        <c:ser>
          <c:idx val="0"/>
          <c:order val="0"/>
          <c:tx>
            <c:strRef>
              <c:f>Sheet2!$B$3:$B$4</c:f>
              <c:strCache>
                <c:ptCount val="1"/>
                <c:pt idx="0">
                  <c:v>Female</c:v>
                </c:pt>
              </c:strCache>
            </c:strRef>
          </c:tx>
          <c:spPr>
            <a:solidFill>
              <a:schemeClr val="tx2">
                <a:lumMod val="75000"/>
                <a:lumOff val="25000"/>
              </a:schemeClr>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Sheet2!$B$5:$B$25</c:f>
              <c:numCache>
                <c:formatCode>General</c:formatCode>
                <c:ptCount val="20"/>
                <c:pt idx="0">
                  <c:v>323</c:v>
                </c:pt>
                <c:pt idx="1">
                  <c:v>365</c:v>
                </c:pt>
                <c:pt idx="2">
                  <c:v>261</c:v>
                </c:pt>
                <c:pt idx="3">
                  <c:v>251</c:v>
                </c:pt>
                <c:pt idx="4">
                  <c:v>225</c:v>
                </c:pt>
                <c:pt idx="5">
                  <c:v>214</c:v>
                </c:pt>
                <c:pt idx="6">
                  <c:v>181</c:v>
                </c:pt>
                <c:pt idx="7">
                  <c:v>186</c:v>
                </c:pt>
                <c:pt idx="8">
                  <c:v>115</c:v>
                </c:pt>
                <c:pt idx="9">
                  <c:v>96</c:v>
                </c:pt>
                <c:pt idx="10">
                  <c:v>52</c:v>
                </c:pt>
                <c:pt idx="11">
                  <c:v>116</c:v>
                </c:pt>
                <c:pt idx="12">
                  <c:v>117</c:v>
                </c:pt>
                <c:pt idx="13">
                  <c:v>40</c:v>
                </c:pt>
                <c:pt idx="14">
                  <c:v>72</c:v>
                </c:pt>
                <c:pt idx="15">
                  <c:v>66</c:v>
                </c:pt>
                <c:pt idx="16">
                  <c:v>52</c:v>
                </c:pt>
                <c:pt idx="17">
                  <c:v>55</c:v>
                </c:pt>
                <c:pt idx="18">
                  <c:v>25</c:v>
                </c:pt>
                <c:pt idx="19">
                  <c:v>22</c:v>
                </c:pt>
              </c:numCache>
            </c:numRef>
          </c:val>
          <c:extLst>
            <c:ext xmlns:c16="http://schemas.microsoft.com/office/drawing/2014/chart" uri="{C3380CC4-5D6E-409C-BE32-E72D297353CC}">
              <c16:uniqueId val="{00000000-2EF6-4D1A-ACAB-F4F3D5AB1F29}"/>
            </c:ext>
          </c:extLst>
        </c:ser>
        <c:ser>
          <c:idx val="1"/>
          <c:order val="1"/>
          <c:tx>
            <c:strRef>
              <c:f>Sheet2!$C$3:$C$4</c:f>
              <c:strCache>
                <c:ptCount val="1"/>
                <c:pt idx="0">
                  <c:v>Male</c:v>
                </c:pt>
              </c:strCache>
            </c:strRef>
          </c:tx>
          <c:spPr>
            <a:solidFill>
              <a:srgbClr val="FF6600"/>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Sheet2!$C$5:$C$25</c:f>
              <c:numCache>
                <c:formatCode>General</c:formatCode>
                <c:ptCount val="20"/>
                <c:pt idx="0">
                  <c:v>374</c:v>
                </c:pt>
                <c:pt idx="1">
                  <c:v>336</c:v>
                </c:pt>
                <c:pt idx="2">
                  <c:v>174</c:v>
                </c:pt>
                <c:pt idx="3">
                  <c:v>177</c:v>
                </c:pt>
                <c:pt idx="4">
                  <c:v>140</c:v>
                </c:pt>
                <c:pt idx="5">
                  <c:v>98</c:v>
                </c:pt>
                <c:pt idx="6">
                  <c:v>72</c:v>
                </c:pt>
                <c:pt idx="7">
                  <c:v>79</c:v>
                </c:pt>
                <c:pt idx="8">
                  <c:v>117</c:v>
                </c:pt>
                <c:pt idx="9">
                  <c:v>86</c:v>
                </c:pt>
                <c:pt idx="10">
                  <c:v>114</c:v>
                </c:pt>
                <c:pt idx="11">
                  <c:v>38</c:v>
                </c:pt>
                <c:pt idx="12">
                  <c:v>44</c:v>
                </c:pt>
                <c:pt idx="13">
                  <c:v>79</c:v>
                </c:pt>
                <c:pt idx="14">
                  <c:v>41</c:v>
                </c:pt>
                <c:pt idx="15">
                  <c:v>44</c:v>
                </c:pt>
                <c:pt idx="16">
                  <c:v>57</c:v>
                </c:pt>
                <c:pt idx="17">
                  <c:v>9</c:v>
                </c:pt>
                <c:pt idx="18">
                  <c:v>36</c:v>
                </c:pt>
                <c:pt idx="19">
                  <c:v>22</c:v>
                </c:pt>
              </c:numCache>
            </c:numRef>
          </c:val>
          <c:extLst>
            <c:ext xmlns:c16="http://schemas.microsoft.com/office/drawing/2014/chart" uri="{C3380CC4-5D6E-409C-BE32-E72D297353CC}">
              <c16:uniqueId val="{00000001-2EF6-4D1A-ACAB-F4F3D5AB1F29}"/>
            </c:ext>
          </c:extLst>
        </c:ser>
        <c:ser>
          <c:idx val="2"/>
          <c:order val="2"/>
          <c:tx>
            <c:strRef>
              <c:f>Sheet2!$D$3:$D$4</c:f>
              <c:strCache>
                <c:ptCount val="1"/>
                <c:pt idx="0">
                  <c:v>Other</c:v>
                </c:pt>
              </c:strCache>
            </c:strRef>
          </c:tx>
          <c:spPr>
            <a:solidFill>
              <a:srgbClr val="92D050"/>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Sheet2!$D$5:$D$25</c:f>
              <c:numCache>
                <c:formatCode>General</c:formatCode>
                <c:ptCount val="20"/>
                <c:pt idx="0">
                  <c:v>8</c:v>
                </c:pt>
                <c:pt idx="1">
                  <c:v>36</c:v>
                </c:pt>
                <c:pt idx="3">
                  <c:v>15</c:v>
                </c:pt>
                <c:pt idx="6">
                  <c:v>5</c:v>
                </c:pt>
                <c:pt idx="7">
                  <c:v>2</c:v>
                </c:pt>
                <c:pt idx="8">
                  <c:v>7</c:v>
                </c:pt>
                <c:pt idx="9">
                  <c:v>5</c:v>
                </c:pt>
                <c:pt idx="10">
                  <c:v>13</c:v>
                </c:pt>
                <c:pt idx="11">
                  <c:v>10</c:v>
                </c:pt>
                <c:pt idx="13">
                  <c:v>10</c:v>
                </c:pt>
                <c:pt idx="14">
                  <c:v>15</c:v>
                </c:pt>
                <c:pt idx="17">
                  <c:v>3</c:v>
                </c:pt>
              </c:numCache>
            </c:numRef>
          </c:val>
          <c:extLst>
            <c:ext xmlns:c16="http://schemas.microsoft.com/office/drawing/2014/chart" uri="{C3380CC4-5D6E-409C-BE32-E72D297353CC}">
              <c16:uniqueId val="{00000002-2EF6-4D1A-ACAB-F4F3D5AB1F29}"/>
            </c:ext>
          </c:extLst>
        </c:ser>
        <c:ser>
          <c:idx val="3"/>
          <c:order val="3"/>
          <c:tx>
            <c:strRef>
              <c:f>Sheet2!$E$3:$E$4</c:f>
              <c:strCache>
                <c:ptCount val="1"/>
                <c:pt idx="0">
                  <c:v>Unknown</c:v>
                </c:pt>
              </c:strCache>
            </c:strRef>
          </c:tx>
          <c:spPr>
            <a:solidFill>
              <a:schemeClr val="tx2">
                <a:lumMod val="50000"/>
                <a:lumOff val="50000"/>
              </a:schemeClr>
            </a:solidFill>
            <a:ln>
              <a:noFill/>
            </a:ln>
            <a:effectLst/>
          </c:spPr>
          <c:invertIfNegative val="0"/>
          <c:cat>
            <c:strRef>
              <c:f>Sheet2!$A$5:$A$25</c:f>
              <c:strCache>
                <c:ptCount val="20"/>
                <c:pt idx="0">
                  <c:v>Jeans</c:v>
                </c:pt>
                <c:pt idx="1">
                  <c:v>T-Shirts</c:v>
                </c:pt>
                <c:pt idx="2">
                  <c:v>Sneakers</c:v>
                </c:pt>
                <c:pt idx="3">
                  <c:v>Tank Tops</c:v>
                </c:pt>
                <c:pt idx="4">
                  <c:v>Bikinis</c:v>
                </c:pt>
                <c:pt idx="5">
                  <c:v>Shorts</c:v>
                </c:pt>
                <c:pt idx="6">
                  <c:v>Sundresses</c:v>
                </c:pt>
                <c:pt idx="7">
                  <c:v>Graphic Tees</c:v>
                </c:pt>
                <c:pt idx="8">
                  <c:v>Sandals</c:v>
                </c:pt>
                <c:pt idx="9">
                  <c:v>Hoodies &amp; Sweatshirts</c:v>
                </c:pt>
                <c:pt idx="10">
                  <c:v>Pajama Sets</c:v>
                </c:pt>
                <c:pt idx="11">
                  <c:v>Casual Dresses</c:v>
                </c:pt>
                <c:pt idx="12">
                  <c:v>Maxi Dresses</c:v>
                </c:pt>
                <c:pt idx="13">
                  <c:v>Leggings</c:v>
                </c:pt>
                <c:pt idx="14">
                  <c:v>Crop Tops</c:v>
                </c:pt>
                <c:pt idx="15">
                  <c:v>Workout Tops</c:v>
                </c:pt>
                <c:pt idx="16">
                  <c:v>Tote Bags</c:v>
                </c:pt>
                <c:pt idx="17">
                  <c:v>Sunglasses</c:v>
                </c:pt>
                <c:pt idx="18">
                  <c:v>Baseball Caps</c:v>
                </c:pt>
                <c:pt idx="19">
                  <c:v>Jewelry</c:v>
                </c:pt>
              </c:strCache>
            </c:strRef>
          </c:cat>
          <c:val>
            <c:numRef>
              <c:f>Sheet2!$E$5:$E$25</c:f>
              <c:numCache>
                <c:formatCode>General</c:formatCode>
                <c:ptCount val="20"/>
                <c:pt idx="0">
                  <c:v>133</c:v>
                </c:pt>
                <c:pt idx="1">
                  <c:v>62</c:v>
                </c:pt>
                <c:pt idx="2">
                  <c:v>29</c:v>
                </c:pt>
                <c:pt idx="4">
                  <c:v>4</c:v>
                </c:pt>
                <c:pt idx="5">
                  <c:v>12</c:v>
                </c:pt>
                <c:pt idx="6">
                  <c:v>29</c:v>
                </c:pt>
                <c:pt idx="7">
                  <c:v>12</c:v>
                </c:pt>
                <c:pt idx="8">
                  <c:v>16</c:v>
                </c:pt>
                <c:pt idx="9">
                  <c:v>5</c:v>
                </c:pt>
                <c:pt idx="11">
                  <c:v>13</c:v>
                </c:pt>
                <c:pt idx="13">
                  <c:v>8</c:v>
                </c:pt>
                <c:pt idx="14">
                  <c:v>6</c:v>
                </c:pt>
                <c:pt idx="15">
                  <c:v>10</c:v>
                </c:pt>
                <c:pt idx="16">
                  <c:v>6</c:v>
                </c:pt>
                <c:pt idx="17">
                  <c:v>24</c:v>
                </c:pt>
              </c:numCache>
            </c:numRef>
          </c:val>
          <c:extLst>
            <c:ext xmlns:c16="http://schemas.microsoft.com/office/drawing/2014/chart" uri="{C3380CC4-5D6E-409C-BE32-E72D297353CC}">
              <c16:uniqueId val="{00000004-2EF6-4D1A-ACAB-F4F3D5AB1F29}"/>
            </c:ext>
          </c:extLst>
        </c:ser>
        <c:dLbls>
          <c:showLegendKey val="0"/>
          <c:showVal val="0"/>
          <c:showCatName val="0"/>
          <c:showSerName val="0"/>
          <c:showPercent val="0"/>
          <c:showBubbleSize val="0"/>
        </c:dLbls>
        <c:gapWidth val="150"/>
        <c:overlap val="100"/>
        <c:axId val="253416991"/>
        <c:axId val="253412191"/>
      </c:barChart>
      <c:catAx>
        <c:axId val="25341699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12191"/>
        <c:crosses val="autoZero"/>
        <c:auto val="1"/>
        <c:lblAlgn val="ctr"/>
        <c:lblOffset val="100"/>
        <c:noMultiLvlLbl val="0"/>
      </c:catAx>
      <c:valAx>
        <c:axId val="2534121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1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.xlsx]Sheet6!pvt Rating</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Happiness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50000"/>
              <a:lumOff val="50000"/>
            </a:schemeClr>
          </a:solidFill>
          <a:ln>
            <a:noFill/>
          </a:ln>
          <a:effectLst/>
        </c:spPr>
      </c:pivotFmt>
      <c:pivotFmt>
        <c:idx val="19"/>
        <c:spPr>
          <a:solidFill>
            <a:schemeClr val="tx2">
              <a:lumMod val="50000"/>
              <a:lumOff val="50000"/>
            </a:schemeClr>
          </a:solidFill>
          <a:ln>
            <a:noFill/>
          </a:ln>
          <a:effectLst/>
        </c:spPr>
      </c:pivotFmt>
      <c:pivotFmt>
        <c:idx val="20"/>
        <c:spPr>
          <a:solidFill>
            <a:schemeClr val="tx2">
              <a:lumMod val="50000"/>
              <a:lumOff val="50000"/>
            </a:schemeClr>
          </a:solidFill>
          <a:ln>
            <a:noFill/>
          </a:ln>
          <a:effectLst/>
        </c:spPr>
      </c:pivotFmt>
      <c:pivotFmt>
        <c:idx val="2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tx2">
              <a:lumMod val="50000"/>
              <a:lumOff val="50000"/>
            </a:schemeClr>
          </a:solidFill>
          <a:ln>
            <a:noFill/>
          </a:ln>
          <a:effectLst/>
        </c:spPr>
      </c:pivotFmt>
      <c:pivotFmt>
        <c:idx val="26"/>
        <c:spPr>
          <a:solidFill>
            <a:schemeClr val="tx2">
              <a:lumMod val="50000"/>
              <a:lumOff val="50000"/>
            </a:schemeClr>
          </a:solidFill>
          <a:ln>
            <a:noFill/>
          </a:ln>
          <a:effectLst/>
        </c:spPr>
      </c:pivotFmt>
      <c:pivotFmt>
        <c:idx val="27"/>
        <c:spPr>
          <a:solidFill>
            <a:schemeClr val="tx2">
              <a:lumMod val="50000"/>
              <a:lumOff val="50000"/>
            </a:schemeClr>
          </a:solidFill>
          <a:ln>
            <a:noFill/>
          </a:ln>
          <a:effectLst/>
        </c:spPr>
      </c:pivotFmt>
      <c:pivotFmt>
        <c:idx val="28"/>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tx2">
              <a:lumMod val="50000"/>
              <a:lumOff val="50000"/>
            </a:schemeClr>
          </a:solidFill>
          <a:ln>
            <a:noFill/>
          </a:ln>
          <a:effectLst/>
        </c:spPr>
      </c:pivotFmt>
      <c:pivotFmt>
        <c:idx val="34"/>
        <c:spPr>
          <a:solidFill>
            <a:schemeClr val="tx2">
              <a:lumMod val="50000"/>
              <a:lumOff val="50000"/>
            </a:schemeClr>
          </a:solidFill>
          <a:ln>
            <a:noFill/>
          </a:ln>
          <a:effectLst/>
        </c:spPr>
      </c:pivotFmt>
      <c:pivotFmt>
        <c:idx val="35"/>
        <c:spPr>
          <a:solidFill>
            <a:schemeClr val="tx2">
              <a:lumMod val="50000"/>
              <a:lumOff val="50000"/>
            </a:schemeClr>
          </a:solidFill>
          <a:ln>
            <a:noFill/>
          </a:ln>
          <a:effectLst/>
        </c:spPr>
      </c:pivotFmt>
      <c:pivotFmt>
        <c:idx val="36"/>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34769493719623E-2"/>
          <c:y val="0.16712641930369093"/>
          <c:w val="0.89391422805674126"/>
          <c:h val="0.70624737380936342"/>
        </c:manualLayout>
      </c:layout>
      <c:barChart>
        <c:barDir val="col"/>
        <c:grouping val="clustered"/>
        <c:varyColors val="0"/>
        <c:ser>
          <c:idx val="0"/>
          <c:order val="0"/>
          <c:tx>
            <c:strRef>
              <c:f>Sheet6!$F$26:$F$27</c:f>
              <c:strCache>
                <c:ptCount val="1"/>
                <c:pt idx="0">
                  <c:v>1</c:v>
                </c:pt>
              </c:strCache>
            </c:strRef>
          </c:tx>
          <c:spPr>
            <a:solidFill>
              <a:srgbClr val="92D050"/>
            </a:solidFill>
            <a:ln>
              <a:noFill/>
            </a:ln>
            <a:effectLst/>
          </c:spPr>
          <c:invertIfNegative val="0"/>
          <c:cat>
            <c:strRef>
              <c:f>Sheet6!$E$28:$E$31</c:f>
              <c:strCache>
                <c:ptCount val="3"/>
                <c:pt idx="0">
                  <c:v>Jan</c:v>
                </c:pt>
                <c:pt idx="1">
                  <c:v>Feb</c:v>
                </c:pt>
                <c:pt idx="2">
                  <c:v>Mar</c:v>
                </c:pt>
              </c:strCache>
            </c:strRef>
          </c:cat>
          <c:val>
            <c:numRef>
              <c:f>Sheet6!$F$28:$F$31</c:f>
              <c:numCache>
                <c:formatCode>General</c:formatCode>
                <c:ptCount val="3"/>
                <c:pt idx="0">
                  <c:v>4</c:v>
                </c:pt>
                <c:pt idx="1">
                  <c:v>2</c:v>
                </c:pt>
                <c:pt idx="2">
                  <c:v>3</c:v>
                </c:pt>
              </c:numCache>
            </c:numRef>
          </c:val>
          <c:extLst>
            <c:ext xmlns:c16="http://schemas.microsoft.com/office/drawing/2014/chart" uri="{C3380CC4-5D6E-409C-BE32-E72D297353CC}">
              <c16:uniqueId val="{00000000-D358-4FC1-81C8-CD8E48E8A6DB}"/>
            </c:ext>
          </c:extLst>
        </c:ser>
        <c:ser>
          <c:idx val="1"/>
          <c:order val="1"/>
          <c:tx>
            <c:strRef>
              <c:f>Sheet6!$G$26:$G$27</c:f>
              <c:strCache>
                <c:ptCount val="1"/>
                <c:pt idx="0">
                  <c:v>2</c:v>
                </c:pt>
              </c:strCache>
            </c:strRef>
          </c:tx>
          <c:spPr>
            <a:solidFill>
              <a:srgbClr val="7030A0"/>
            </a:solidFill>
            <a:ln>
              <a:noFill/>
            </a:ln>
            <a:effectLst/>
          </c:spPr>
          <c:invertIfNegative val="0"/>
          <c:cat>
            <c:strRef>
              <c:f>Sheet6!$E$28:$E$31</c:f>
              <c:strCache>
                <c:ptCount val="3"/>
                <c:pt idx="0">
                  <c:v>Jan</c:v>
                </c:pt>
                <c:pt idx="1">
                  <c:v>Feb</c:v>
                </c:pt>
                <c:pt idx="2">
                  <c:v>Mar</c:v>
                </c:pt>
              </c:strCache>
            </c:strRef>
          </c:cat>
          <c:val>
            <c:numRef>
              <c:f>Sheet6!$G$28:$G$31</c:f>
              <c:numCache>
                <c:formatCode>General</c:formatCode>
                <c:ptCount val="3"/>
                <c:pt idx="0">
                  <c:v>19</c:v>
                </c:pt>
                <c:pt idx="1">
                  <c:v>29</c:v>
                </c:pt>
                <c:pt idx="2">
                  <c:v>20</c:v>
                </c:pt>
              </c:numCache>
            </c:numRef>
          </c:val>
          <c:extLst>
            <c:ext xmlns:c16="http://schemas.microsoft.com/office/drawing/2014/chart" uri="{C3380CC4-5D6E-409C-BE32-E72D297353CC}">
              <c16:uniqueId val="{00000001-D358-4FC1-81C8-CD8E48E8A6DB}"/>
            </c:ext>
          </c:extLst>
        </c:ser>
        <c:ser>
          <c:idx val="2"/>
          <c:order val="2"/>
          <c:tx>
            <c:strRef>
              <c:f>Sheet6!$H$26:$H$27</c:f>
              <c:strCache>
                <c:ptCount val="1"/>
                <c:pt idx="0">
                  <c:v>3</c:v>
                </c:pt>
              </c:strCache>
            </c:strRef>
          </c:tx>
          <c:spPr>
            <a:solidFill>
              <a:srgbClr val="00B050"/>
            </a:solidFill>
            <a:ln>
              <a:noFill/>
            </a:ln>
            <a:effectLst/>
          </c:spPr>
          <c:invertIfNegative val="0"/>
          <c:cat>
            <c:strRef>
              <c:f>Sheet6!$E$28:$E$31</c:f>
              <c:strCache>
                <c:ptCount val="3"/>
                <c:pt idx="0">
                  <c:v>Jan</c:v>
                </c:pt>
                <c:pt idx="1">
                  <c:v>Feb</c:v>
                </c:pt>
                <c:pt idx="2">
                  <c:v>Mar</c:v>
                </c:pt>
              </c:strCache>
            </c:strRef>
          </c:cat>
          <c:val>
            <c:numRef>
              <c:f>Sheet6!$H$28:$H$31</c:f>
              <c:numCache>
                <c:formatCode>General</c:formatCode>
                <c:ptCount val="3"/>
                <c:pt idx="0">
                  <c:v>79</c:v>
                </c:pt>
                <c:pt idx="1">
                  <c:v>76</c:v>
                </c:pt>
                <c:pt idx="2">
                  <c:v>68</c:v>
                </c:pt>
              </c:numCache>
            </c:numRef>
          </c:val>
          <c:extLst>
            <c:ext xmlns:c16="http://schemas.microsoft.com/office/drawing/2014/chart" uri="{C3380CC4-5D6E-409C-BE32-E72D297353CC}">
              <c16:uniqueId val="{00000002-D358-4FC1-81C8-CD8E48E8A6DB}"/>
            </c:ext>
          </c:extLst>
        </c:ser>
        <c:ser>
          <c:idx val="3"/>
          <c:order val="3"/>
          <c:tx>
            <c:strRef>
              <c:f>Sheet6!$I$26:$I$27</c:f>
              <c:strCache>
                <c:ptCount val="1"/>
                <c:pt idx="0">
                  <c:v>4</c:v>
                </c:pt>
              </c:strCache>
            </c:strRef>
          </c:tx>
          <c:spPr>
            <a:solidFill>
              <a:schemeClr val="accent4"/>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D358-4FC1-81C8-CD8E48E8A6DB}"/>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6-D358-4FC1-81C8-CD8E48E8A6DB}"/>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8-D358-4FC1-81C8-CD8E48E8A6DB}"/>
              </c:ext>
            </c:extLst>
          </c:dPt>
          <c:cat>
            <c:strRef>
              <c:f>Sheet6!$E$28:$E$31</c:f>
              <c:strCache>
                <c:ptCount val="3"/>
                <c:pt idx="0">
                  <c:v>Jan</c:v>
                </c:pt>
                <c:pt idx="1">
                  <c:v>Feb</c:v>
                </c:pt>
                <c:pt idx="2">
                  <c:v>Mar</c:v>
                </c:pt>
              </c:strCache>
            </c:strRef>
          </c:cat>
          <c:val>
            <c:numRef>
              <c:f>Sheet6!$I$28:$I$31</c:f>
              <c:numCache>
                <c:formatCode>General</c:formatCode>
                <c:ptCount val="3"/>
                <c:pt idx="0">
                  <c:v>144</c:v>
                </c:pt>
                <c:pt idx="1">
                  <c:v>154</c:v>
                </c:pt>
                <c:pt idx="2">
                  <c:v>150</c:v>
                </c:pt>
              </c:numCache>
            </c:numRef>
          </c:val>
          <c:extLst>
            <c:ext xmlns:c16="http://schemas.microsoft.com/office/drawing/2014/chart" uri="{C3380CC4-5D6E-409C-BE32-E72D297353CC}">
              <c16:uniqueId val="{00000009-D358-4FC1-81C8-CD8E48E8A6DB}"/>
            </c:ext>
          </c:extLst>
        </c:ser>
        <c:ser>
          <c:idx val="4"/>
          <c:order val="4"/>
          <c:tx>
            <c:strRef>
              <c:f>Sheet6!$J$26:$J$27</c:f>
              <c:strCache>
                <c:ptCount val="1"/>
                <c:pt idx="0">
                  <c:v>5</c:v>
                </c:pt>
              </c:strCache>
            </c:strRef>
          </c:tx>
          <c:spPr>
            <a:solidFill>
              <a:srgbClr val="FF6600"/>
            </a:solidFill>
            <a:ln>
              <a:noFill/>
            </a:ln>
            <a:effectLst/>
          </c:spPr>
          <c:invertIfNegative val="0"/>
          <c:cat>
            <c:strRef>
              <c:f>Sheet6!$E$28:$E$31</c:f>
              <c:strCache>
                <c:ptCount val="3"/>
                <c:pt idx="0">
                  <c:v>Jan</c:v>
                </c:pt>
                <c:pt idx="1">
                  <c:v>Feb</c:v>
                </c:pt>
                <c:pt idx="2">
                  <c:v>Mar</c:v>
                </c:pt>
              </c:strCache>
            </c:strRef>
          </c:cat>
          <c:val>
            <c:numRef>
              <c:f>Sheet6!$J$28:$J$31</c:f>
              <c:numCache>
                <c:formatCode>General</c:formatCode>
                <c:ptCount val="3"/>
                <c:pt idx="0">
                  <c:v>90</c:v>
                </c:pt>
                <c:pt idx="1">
                  <c:v>118</c:v>
                </c:pt>
                <c:pt idx="2">
                  <c:v>123</c:v>
                </c:pt>
              </c:numCache>
            </c:numRef>
          </c:val>
          <c:extLst>
            <c:ext xmlns:c16="http://schemas.microsoft.com/office/drawing/2014/chart" uri="{C3380CC4-5D6E-409C-BE32-E72D297353CC}">
              <c16:uniqueId val="{0000000A-D358-4FC1-81C8-CD8E48E8A6DB}"/>
            </c:ext>
          </c:extLst>
        </c:ser>
        <c:dLbls>
          <c:showLegendKey val="0"/>
          <c:showVal val="0"/>
          <c:showCatName val="0"/>
          <c:showSerName val="0"/>
          <c:showPercent val="0"/>
          <c:showBubbleSize val="0"/>
        </c:dLbls>
        <c:gapWidth val="219"/>
        <c:overlap val="-27"/>
        <c:axId val="253392031"/>
        <c:axId val="253385311"/>
      </c:barChart>
      <c:catAx>
        <c:axId val="25339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85311"/>
        <c:crosses val="autoZero"/>
        <c:auto val="1"/>
        <c:lblAlgn val="ctr"/>
        <c:lblOffset val="100"/>
        <c:noMultiLvlLbl val="0"/>
      </c:catAx>
      <c:valAx>
        <c:axId val="25338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9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.xlsx]Sheet6!pvt TXID</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Shipping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c:f>
              <c:strCache>
                <c:ptCount val="1"/>
                <c:pt idx="0">
                  <c:v>Total</c:v>
                </c:pt>
              </c:strCache>
            </c:strRef>
          </c:tx>
          <c:spPr>
            <a:solidFill>
              <a:schemeClr val="tx2">
                <a:lumMod val="75000"/>
                <a:lumOff val="25000"/>
              </a:schemeClr>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83</c:v>
                </c:pt>
                <c:pt idx="1">
                  <c:v>390</c:v>
                </c:pt>
                <c:pt idx="2">
                  <c:v>256</c:v>
                </c:pt>
                <c:pt idx="3">
                  <c:v>158</c:v>
                </c:pt>
                <c:pt idx="4">
                  <c:v>92</c:v>
                </c:pt>
                <c:pt idx="5">
                  <c:v>37</c:v>
                </c:pt>
                <c:pt idx="6">
                  <c:v>26</c:v>
                </c:pt>
                <c:pt idx="7">
                  <c:v>12</c:v>
                </c:pt>
                <c:pt idx="8">
                  <c:v>7</c:v>
                </c:pt>
                <c:pt idx="9">
                  <c:v>4</c:v>
                </c:pt>
                <c:pt idx="10">
                  <c:v>2</c:v>
                </c:pt>
                <c:pt idx="11">
                  <c:v>4</c:v>
                </c:pt>
                <c:pt idx="12">
                  <c:v>1</c:v>
                </c:pt>
                <c:pt idx="13">
                  <c:v>3</c:v>
                </c:pt>
                <c:pt idx="14">
                  <c:v>4</c:v>
                </c:pt>
              </c:numCache>
            </c:numRef>
          </c:val>
          <c:extLst>
            <c:ext xmlns:c16="http://schemas.microsoft.com/office/drawing/2014/chart" uri="{C3380CC4-5D6E-409C-BE32-E72D297353CC}">
              <c16:uniqueId val="{00000000-6A11-4B13-A0CE-049FCE84EF53}"/>
            </c:ext>
          </c:extLst>
        </c:ser>
        <c:dLbls>
          <c:showLegendKey val="0"/>
          <c:showVal val="0"/>
          <c:showCatName val="0"/>
          <c:showSerName val="0"/>
          <c:showPercent val="0"/>
          <c:showBubbleSize val="0"/>
        </c:dLbls>
        <c:gapWidth val="6"/>
        <c:overlap val="100"/>
        <c:axId val="253370431"/>
        <c:axId val="253371391"/>
      </c:barChart>
      <c:catAx>
        <c:axId val="25337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3371391"/>
        <c:crosses val="autoZero"/>
        <c:auto val="1"/>
        <c:lblAlgn val="ctr"/>
        <c:lblOffset val="100"/>
        <c:noMultiLvlLbl val="0"/>
      </c:catAx>
      <c:valAx>
        <c:axId val="25337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337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^0 product delivery performences .xlsx]Sheet4!TXId</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Quantity Purchased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718460944455E-2"/>
          <c:y val="0.20326249968023327"/>
          <c:w val="0.7724356955380578"/>
          <c:h val="0.62948752590110246"/>
        </c:manualLayout>
      </c:layout>
      <c:barChart>
        <c:barDir val="col"/>
        <c:grouping val="clustered"/>
        <c:varyColors val="0"/>
        <c:ser>
          <c:idx val="0"/>
          <c:order val="0"/>
          <c:tx>
            <c:strRef>
              <c:f>Sheet4!$B$3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158</c:v>
                </c:pt>
                <c:pt idx="1">
                  <c:v>252</c:v>
                </c:pt>
                <c:pt idx="2">
                  <c:v>179</c:v>
                </c:pt>
                <c:pt idx="3">
                  <c:v>110</c:v>
                </c:pt>
                <c:pt idx="4">
                  <c:v>84</c:v>
                </c:pt>
                <c:pt idx="5">
                  <c:v>190</c:v>
                </c:pt>
                <c:pt idx="6">
                  <c:v>106</c:v>
                </c:pt>
              </c:numCache>
            </c:numRef>
          </c:val>
          <c:extLst>
            <c:ext xmlns:c16="http://schemas.microsoft.com/office/drawing/2014/chart" uri="{C3380CC4-5D6E-409C-BE32-E72D297353CC}">
              <c16:uniqueId val="{00000000-E597-499E-865F-D7688CF43CBB}"/>
            </c:ext>
          </c:extLst>
        </c:ser>
        <c:dLbls>
          <c:dLblPos val="outEnd"/>
          <c:showLegendKey val="0"/>
          <c:showVal val="1"/>
          <c:showCatName val="0"/>
          <c:showSerName val="0"/>
          <c:showPercent val="0"/>
          <c:showBubbleSize val="0"/>
        </c:dLbls>
        <c:gapWidth val="4"/>
        <c:overlap val="-27"/>
        <c:axId val="1486084544"/>
        <c:axId val="1486085024"/>
      </c:barChart>
      <c:catAx>
        <c:axId val="148608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85024"/>
        <c:crosses val="autoZero"/>
        <c:auto val="1"/>
        <c:lblAlgn val="ctr"/>
        <c:lblOffset val="100"/>
        <c:noMultiLvlLbl val="0"/>
      </c:catAx>
      <c:valAx>
        <c:axId val="1486085024"/>
        <c:scaling>
          <c:orientation val="minMax"/>
        </c:scaling>
        <c:delete val="1"/>
        <c:axPos val="l"/>
        <c:numFmt formatCode="General" sourceLinked="1"/>
        <c:majorTickMark val="none"/>
        <c:minorTickMark val="none"/>
        <c:tickLblPos val="nextTo"/>
        <c:crossAx val="148608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plotSurface>
          <cx:spPr>
            <a:noFill/>
            <a:ln w="6350">
              <a:solidFill>
                <a:schemeClr val="tx1"/>
              </a:solidFill>
            </a:ln>
          </cx:spPr>
        </cx:plotSurface>
        <cx:series layoutId="regionMap" uniqueId="{C0E08E82-E837-456A-8555-18978907C884}">
          <cx:tx>
            <cx:txData>
              <cx:f>_xlchart.v5.2</cx:f>
              <cx:v>Sum of Quantity</cx:v>
            </cx:txData>
          </cx:tx>
          <cx:spPr>
            <a:solidFill>
              <a:schemeClr val="tx2">
                <a:lumMod val="25000"/>
                <a:lumOff val="75000"/>
              </a:schemeClr>
            </a:solidFill>
            <a:ln w="6350">
              <a:solidFill>
                <a:schemeClr val="tx1"/>
              </a:solidFill>
            </a:ln>
          </cx:spPr>
          <cx:dataPt idx="35">
            <cx:spPr>
              <a:solidFill>
                <a:srgbClr val="FF6600"/>
              </a:solidFill>
            </cx:spPr>
          </cx:dataPt>
          <cx:dataId val="0"/>
          <cx:layoutPr>
            <cx:geography cultureLanguage="en-US" cultureRegion="IN" attribution="Powered by Bing">
              <cx:geoCache provider="{E9337A44-BEBE-4D9F-B70C-5C5E7DAFC167}">
                <cx:binary>3H1bc9s40vZfSeX6o4cASILY2tmqJSnJJ8mOD8lkbliKrZAgCZ4AHn/927SdrEXJWfqr6GKlzNRU
RmqoxQdodD/daPzzof3HQ7JZlx9akaTyHw/tnx9DpfJ//PGHfAg3Yi1PBH8oM5l9VycPmfgj+/6d
P2z+eCzXDU+DP7COjD8ewnWpNu3Hf/0TRgs22WX2sFY8Sz9Vm7K72cgqUfIX7+1968P6UfDU41KV
/EGhPz+664R/z8qUrz9uv4f//Hi7TtX6g7Muv63L9Qc3q1LVffywSRVX3V2Xb/78uDUa/vjhj/GX
7ij4IYHfoKpHECbGiYF126IMsefXxw9JlgYvb2sIsROL2cRAxPrx/vOXr9YC5N+t3pNy68fHciMl
/Nin/741zNYvg8f076mP52F4TAM+AUD158f7lKvN44dbtVYb+fEDl9nTcyw7Nxuewf3t00P7Yxvh
f/1z9D/gMY7+z6tJMH7m/+2tbZz/yxz4dwLP+vEQ6NMTWzdsbFvkGVw6Qh/jE0yxQS2YV69hf4dG
+wEfDzAB6rHI0YGc83RzgBVuwwImpoVM4xlje4QxrHAKL9OkxhjkqRq9hfGW/CSItySODGE3A6M0
rGIJFv3JAv1WS26f6MhmjBC6H2dYy4gYtkkRzIDXi/m9eu1He+8oEzDfK3dkyN9maSYOg7lBmMUo
pvrTi4zWNmBOkWkZhj1a29M12o/2SH4CziOJI0P432L9mJUHWdUEtl8dDwBuOWZYB7ONMSM6e4Ie
bS/q6QrtB3gkPwHgkcSRAXzLZcy7rPr9EBvohBJk2viHE8bGSOMTCzZwU7dgeb823O/RaT/KOyNM
wHlH5siQXm7Sx+yBp9nvh5qwEzR4YZSiZ3sNi3Z7UZMTrFOLEAae+Guo36XUfqx3h5gA9q7QkaHt
VEodwutmJybCxNDf8roxOjFNw0IIjwz3ZIX2o7wtPgHhbYEjQ9fbJB9WGTA4v38tD2bbNGALHpzu
4bUTOxuwlg0CsfMoeH6XUvtR3h1iAtK7QkeGNvBo63pTruXvR5vYJ4hZGGH64mkDptuWWz+xbJ3B
kre2Lfe7lNqP9u4QE9DeFToytL9mySG2aKBLKDUYWO4xwrDgqUERskYWe6oi+8Hdkp6A69bnjwxS
N0sqeYg4mYEphrUJJNiz37WzevGJrttAcRuA+mu/a7pG+9EdyU/AdyRxZAjPkg9eVkKsfBATTTGz
TPzCZbOdOAoiZsYQUGDWvoj5XartR3t3iAmA7wodGeZ3m3B9CPbL0E8QtSzdxG/krobsBWSuwMvG
+wCfrtd+tEfyE6AeSRwZzqtNvT5Ilgqst4WpTfQX673DciKgvsF0G2zke03XaD/CI/kJCI8kjgzh
y0x++HcabJLNIVxs4wSWMia2YT4HVDuJKvsEGwToUPTsg4/csHcqtx/xfYNMgH2f2JFhP4eM/UE4
MWugPy3ThFKD59fI7x7yk7YJf9DIN5uu0X6sR/ITYB5JHBnCUMvx4bLi8sPVNy7zQ3ho5gkGmhtM
tf0G/QlBNPhmQIqB7/baDf//UG0/5m8NNAH8t0SPbBYskk2aHsA7B0IU6yZiGPbobeYE8tLMRpSY
I55ssib7od4WnwDwtsCRwXo78NyHSFBCSoNgDMzYi/ke79pAdFvYRMaOczZdo/34juQnADySODKE
TyvxLUse1e9fuxBoUdsCCHfXrnECdBjRoYTsx9792my/R6X9IO+MMAHmHZkjA/pyLeXmACYaYDag
Ssxmz9Gyru/EWbA9w9sGlItub8/TNdqP8kh+AsYjiSND+Ezkm5Kvk9+/lAkUBDFsmwZ5yUCPMUbm
CZQagDcORSfDaxRkvUez/VjvjDAB7R2ZI8P7rgLiWxyk+pOeMBszA7bfN11uYmOEbDwqLnmPTvuR
3hlhAtI7MkeG9FnaHSKwsqCOG4N/DYmrH/vwlo+NhvQlsyzbHtV+TtVnP8Jb0hPQ3fr8kSF7myXr
g/AjwHqB+2xTSt5YwZC7Mpht6uPM83SN9qM7kp+A70jiyBC+2JQH8LqIeULoU6HQ84Y77Ljba5c9
FXZDlDXyuqbqsx/dLekJ2G59/tiQhfNeh2C0rRMADc7P/GC0xxnJ4XAVvAex8xjaqQq9ge2W+BRw
twSODN3lpnyA41/ubz87R0+IbjHLtl6C3x3qAwIqGzHIVxhPpnvkS0/Xaz/KI/kJMI8kjgzny3V8
gDo/qNmFKj5IOUGl/dNrT+0IQyaybDrKPk7VZz+6W9ITsN36/JEhC9T7cGQqOcwRWFjGkFQEeN9a
xugE/GYE+eVRAuqdau3Hed8gE+DeJ3ZkqC/hvNym3HQHsNwWFPlBmR/R3zo3BaQ1HJuyyPjg63t0
2o/3zggTwN6ROTak149QtnsQnKFoFxJL9KVyZOxbwyEqOFUDp+PQKOG4nKzRGyhvy0/BeFvi6BAu
+SGCJ6C3qGECvC9FfzsuGD4xCRr6G4yIj+V6okJv4ftafBK8rwWOEN08O0jlLgUX2oD1a78kJcYr
GEIoZhnUhhOwP5iv1xmoAeapmr2N9NYIE8Hekjk2vDM4Iff7zTUcqQGamkFA/NJrZKdUQD8xDQx1
fmhEVi+nKvQGxlviUwDeEjgydK8hF3GQMzSwVIlFoUD7pVRg58SUfgLJRcCfjBzt6Rrtx3ckPwHg
kcSRIQz+5CGyEANTbUKlwEsctXMiDmw1xrbNwFRv54+n6rMf3S3pCdhuff7IkF2t80P40YAsNJkw
gKh85kDGWeOh0h4KA3TYpreRnarPfmS3pCcgu/X5I0P2qlxD5fXv33QJgYoAyC/Z1lv9gaBJlAld
JqxxLcB0jfajO5KfgO9I4sgQvl0/lNDoK1WHsc0mhT5QUHn77Cbv7L2D7zX8gVTU8Bpx1e/TbT/e
e8aYgPkeqSPD/TpZPxykNNM+gb12WNsvtR87VhvOzdChEgj/rBp4HTtN12s/3iP5CViPJI4M57sK
COxDWHBIMxJ9OOP2Ro3P4HexgcI2R2HTdI32IzySn4DwSOLYEAaOB/py/v5NeqjAhVQyEF0vkfGO
+cYQOkF5PRxx3nbA7qar9AbGowGmgDwSOTKUbzg0mZD88RBLmUC5nm4S8lILslsMAskqaEEBBQOj
EOpdSu1HeneICVjvCh0Z2pBo++BsYFkfwiuDuj0TqrsgRfFzB96q/YHDE4aOdai9H+WW36fVfrz3
jDEB8D1SR4l4ma7Lx8N0AYNDE9BsAtmwaz+9xn4ZorBfGzr4btu2/PnRv0exXwG/M85k8Hckj2wC
fAYvuDpIPhJaQtkAvf5Wj9YnTw0ccksfpaveodJ+zMcDTAB7LHJkKN+G64M04gVfDVopW8Qmb7WK
wifEBgsAR2FH63uyRvsxHv2iCRCPJI4NYdi6Pb4JDrFzPzXWpSacpRmX61I4Egf42j/29BHG79Hp
DZh3hpiC9I7QEYI9B470gcuH7Mcz/x03JFA4/KjrFOLnN3w0PFyhAA1cyZ7t+qdGU2LCt+HeHWYi
5LuCRwj7ebYuqkOVl0DMbWAAeK+nBv45ZlDfzdhzgdEo+B4ctnco9zb+40Emoj8WO0Lsl3CnxyHs
+1PdCYWq0JfIbA/hArlM6OZr7MF8slJvI749xES8t4WOD+2hCLis+im29J3X4FhDHRky9B+VJ+Nd
HRKc0IMd9oFxiylY4u/Q6k28x2NMA3wsdWyI8015kDAMepFYOhx7tZ9zXfsOusObcC0SnKobXuMl
PlmvN/Delp+C9bbEseGs1imXybo6xBksCkesdGguY711fAOSYPrQV4yOQm64LuodWr2B9O4YU9De
lToyxL9W38CU//YDWUN7fQS9C6DC6Om1c1QHmq7DMR0bovMfEcLzNWZT9dmP8pb0BHy3Pv8/gOyv
Vdz6wcNNZv/+8Wz3RF/vvZ4OmFDokm/B7XTPiIIl3iLIgTCzEFx/A7g/R2c/vvsZV2iC/fNmvefU
9j6d9qP6WnbrNz7/xF8/lMPcMff2/XM/7/jz1mo9e7od8NUVdL9+9+nnw92GI9GXBmz7HtjLW2eP
f340wT9+BeowxlbnttdP8RmB/0htgID78yPcMQiE+ND2UYdW+SZ0+oMBm83zWxjuJxzafoINt2EW
DM52Cv38wz8/GuCRoaHYUB+ghy78YL5lVg1vQZMTSKHZUBUOJBvYdYZ+3t94nSVdkKU/H8jL3z+k
lbjOeKrknx8RfEf+/LEnVXWTQQNZON9nwXkhArEgFKfmD+ub4cgsfPr/qZ5keVFV7SptCJvVjR/m
TkYiGrsxbepPlmZ251Fbp/FM12P1VWVGfR8bsi0cydLiy6unt08bCDzG2kBqAI4Vw6FSuLpvyPe+
1sZIuzxmYVWvcJGiVRD3qe9UNLNCt61Vxpy6MaqvtM417pTCVoVbRGUcOH4vqeFCvUj6yJTSr2CM
sPJwkqD73tRstOgs09+gTkPt/NcaY7ipaEdjOG4FfYWYSaFVlD7SmNMQsO3UirRmEHhW2yf3NXQ0
IHNFu8x06q5Fkcepbzs9tTrudLFOFqIuO+SVdaYew1ZK5HItNz0Jl3PWjhKhXju0NONgFmRReB1X
7FxIFkoPdgb2WYbFRZw0ZjvjUrOWvAxrsfj1r9qFASpndOilA/c7AN/39KNfTQraaUGj5Ylcpcpn
n7PARtgxYgxTI0+r9rppS3ab+yj569dfO8y113MRzhLD/W2UQDNzOPKCyaDWq6819TYwchmkq9Tu
0QrFYbVKZely2w8///qbYPnsfBOD3COFdk+wodqjeZanRtcXZZit7Fw31kWTlcnCV3aHnTgPZ3pR
Jb1L9M7O3IiYjfhvk2aYFNs/FCYKtDQx4EIF6DA2/no4u8fDIBV8RYvYXIuoMtdxMuhg9kLOrDLL
nE4H6BdNUjTYKeKMblTC5FnDOuOytUipu6SJstiNaCruSZlj4oV2121yrc49XesFdU2WGeWpSay+
cn799IbepGP96WA2oKc83J8JfVm2gdKtykxN09eWqPLFmpdKBg7SYpUaDum6NDhvQh5/C2yWX7Z9
Ec6tzGi5i1FNvyva95nbhQF1jSyqN7wk9LE285Ce/1pJw9wBmRgEJtFQVAJUhknBLXo9nazS5noZ
KrKMjCL3me0pFvaLVrWEzVVdVW7ZFvqnWnRm5YRhSN0SpQuJy3yRGDl246QQN3liitahSRN8aSKR
nXVSKSc3i/zekrHt+UXqu1UWRdzhikSN40cyXTW5Jq8KrSezIEAscrTeT4WL61CcmpZKbnAUXAdd
SlonqWixUn5xp7DQiGfVGB4k7zDYBqPqe0dv7OgyCU37q69Xxnlo2eiyD9qauY0eGsKFScfPNLvs
hNN0du+hxtS8Pmofclmo20rXaOg0QtG5L4vqzPAxvitC1MQLn2qIO30Y+9/g7HBZOzwttL8rQYWX
5xKfxVman6GCJY+8zi1Y90TEt5z5LXXqwgjOS7+s3A6ewwIZmF0VjWhnRlMWc4RaVM8SuKgxcOsm
sAu3xqE/E5KUXpWzq9DXAt1DKFOnsNXgxk31yHJsRZO/WqGHF7hk+a1JlLmoWKThubREv7atrJxJ
vY36eR3bwVxrW32NZdJ8l0Gem26PlV45aYDrYN6qKIPF0TSzLqgre15mfugliojTFD7qwHmrMoMH
LWrqRDKKNJf6DXVoZra9Y6jEd4nSUrEorXgWGFWnf2oIMuC+41JPnAhmkpoT1TC5aAltL6247xP/
U9UUSgin40mXlo+hH2Lcf5WN1lIROqwEU5494E5EipRwY1FV5fpKxUrE7TnjRb+oWaX8M1FynjsR
TrJbnWrkLOoIqdwKMPCdrtBZC3AJ2/ZS34f9UCVxU8ysuAl0t0wU8q/CQrdodhp3tAm9rk2YurSk
IjCjGj9DsnEr2AvnlhZG/lUNS8cK3MLObZhwJJZinia8ZE5SwOblz9qaW67mg+dqOp2vpwbc++kL
4Yasavx5k9BEzKQPXsHcTAPRu3ZvgsVMcWxUrghLLXFq2QXyWnJNiFkWcPu7VtWU656eYbXghl3Z
K1PzA/88JVRRM3LTVhZ9dyrhSGsZzvIgpGLmy7ov5qyUKZ93iSW6U11Kkbsm7hLu0tbskkXJC665
ACv+ouWiRx7UH8XCg3917SqJdE3CI0/TL5EQTJyRkqlkFofKuukrRcg80jKMLsImlDR1aIhDtfDL
Ok9vYTMm51HQ43he5aDBLFNJ0M9s1PbMtaMub5bC7mBqa7BUSs9HqDoviWkmXuCToPJoWgOcnErw
T9I+Iv0mieG6S88GBYRHOhEWZ0jnxmnAaWy5OI4L4vGM+15f+bHpaE2Zs+vIbyLDJbyIekfkUa9d
6H5izFHuByaoy2g+Q13YZ2chR00wi5kRNs7wOQcxzlKYPgEp3LbhWu+olmt/l9DDq9McDusIr1Cf
8p47dm1o5K5LGlytrJx1mZeyQi3NKoUtKZA0BgEmCDwtn4co/dqjJA3Pi04k7Vw2Zs8vkArUnRFh
c222vvAdG8HknVdpS8lMWj0H5SsUCS8hRSxdu/FnHPHia9I04FlEQVTfStNqvuVlSE5r2gT+zI5N
HTup7cM4ZpJF7Twta7Tq25wYn6Qy0R1SGnyisTRpuwp1tJ3VWET8tGwxbs5SGkh8xTXKPqd6MUzO
KCrkgiYylNdtZyjb1YsGsAmbFBTLJBjdC9jB2Gdi6zC7BVjJ0oMGKG12piTz8XVUVnF8g+2UGWet
ETXVUrVqcD7Drr02Y81qZ1kj4KuzrO9rp8VC9Qs9psOPH1RvwD6BXrlAK8NM4VdUhQmPKoyzuHdZ
XMPSyZMg5p/SksKSLyvwCgJ4D2wqVml4VSCjK1OH5KEOcDdlWy2FFubS4XpVtPMW2gGQWVcXeDAa
sJhc+EVgQFqGBj9ZpeKzD7eLnNs157Zjh2YM86ILrHWTElCjLaPuhqhWlxcBuLnRRZancXRrw26x
kKmOVgULiq9Qz2UVTmiEHJ9ndsCqCz/MgtrrSlo04OB2ZJFjeKyuTovuIU5i87qtpJ6dFnpXx18a
SwTyVPia+N71bLAhvEhCD+IAm8w47kI5zy3Bvmi6L+aiyYPCoQaYua5swhueKXnBRByZnolLHIDZ
gyvMnDrE7HMZaXUwS3AKy6TXfMLOjDRDxUaAQe7OoT8zrI1msNizyNTgibZ1X89gk2mKC1RW2HJ9
lqgadlpS6+B6F9HfJavZndaBm37eM1WiRyXTTjoCIVqf8QbDUK1AYe8aTWAFZznA0rhazKx5n9W1
WrYdTW6jWhaOTeWpIdraPO0bC8CJdST7RZ7EWbZMrda41JRuZLOwSEV9EXRNHrq2KUV4B56IfNRZ
CmYETKesnTiUjXRYU9sF7AJdcZsEBeJ/oawndu304IF197kiGoPBpF/OQqrFwbnm5823MNC12k2o
tOIzznT0qZWa3y/KqpB8xvsKJinHKiLXbZz05kpYeZI4RV7r1tJAodG6HXg3ctaEOaDW2CkPnLKn
AmyHlMkMtaQtvTrBdrno7QJmf2y0AfU6v9Ol6+fSKr40ZofuorCEuQY7HfsMc13I65SlCAwszlk0
t0VoNU5bfcV21djIieOa3ps4LRqvMQNlLA0/seubwpeshM0dZvQs5wTQhMChay85UXF2Scs8JNe4
1RPrzG8zBr+rbbVgGZda3nhC+mAzwBur1DJJfNC/ZHEwl6Edh17T6vpZVxiw7jvLotwx/JAun7zS
F+7i+tnJfw7AH7K8K3kQqtFf/3WXCfjnn4PMz8880RT/+duSP5SZzL6rX35qsckGJkiOP7Q1Mnz7
i3YDfbH1lx0q5Q2y5GYjq0S98ebbTMrP03ID0wBn64ipD/eO/fF6oG065dUd4j+orm3ZH6TKcMEk
XH4DV4kiBL3jhgDqJ6kCFQvAkwKBAC0hKdwf/ZNUGa6506GdN4OLOCjwLgMn/oNUgToIZAPdg62h
zJxCx4wfWm5hCkTSy99fkyoQy40CJJMOQSU0x4LYH/4MzM7r0IMJ2rO0NuurpObg/rplkennSYuM
87SHaMGNLHHfRQF2aKtd2ilEb5EpaqeJLC9MNd1BKrprA3UR2+1trbeXnY8iJw8t5sDKABPHe/Ac
1edGdCsqyJnJLYckfuYUtrzK2/bcyivLbUVxxvukcYSU4AMGzPEpaxclId+JHSi3kUXq6DzuXFhG
eFbGWuH0tjGvosh2jQQ8aibDr53lh45MjG7GVCc8vczvDKuqHKPSsAschUvyXne7RjlGUNRumfpf
EoY8ha3OLaX0TN58s6rYifxCeNCZ96GIKHdri/9lwS7lALdyRlobtixOHfDF/rICY2HTvHf9hsxD
u9QcIsUptmrTqzP7VLZCeJ1Rl+DCtN+6zP8mVHulZ2HhmMBPcZ1xVxjxIo7bMxuC7DlqmxKYFi1z
7CB/DHTD9FqU/pVnZuSQsCaeX6mN5eN+JeNuzXPTv6hMDsGgiYUTBtZMS210gyUtPQNCCZcPm04m
W7ZomvgCmUX91WZ1SZwKqL05hLRub1A+M3yazZOO6G4CkcXMDkPdCVifORVO5bLT7daLgQWa2xnP
PT/ROlfBbHZKGYczjUO40+ncn6W65Bdcz5KFzRp1i826/9z0dehlOrgIsUz0ZWcJOu+bOP6alTU+
55Raf9VSiBtZouI6tDA/s1HZXhbMJ17dJdk5bOFl5WiGEV36TZoPHmx7WZV9gp1e6P631uaaDSZX
K85SrH+KM4ZmYdjk93oHD37hA2/3txax4LthJ9VMMAxemOqqWWzbbicwMINRXjl1r2DelOAbSrxU
XQ9PvZkVTXAp0+IruPHM1YpqVYZpc+r7qp1TvW6dimRsTs2wdow2XxkKq3khdGA5SjUrELuA0Cdw
4oSDZ0j6IV5mqdcbMfIyZHOPik6fZxUJ8xnmt5SkEJ1yK15mcH7oIq6C+jODAOrMgn7FTgg+xkKz
096VWvm9xb52Cv6119odfyYifrfJ/98z5gbYz7eN+X8yjLumfJD8acp1KBiFVW6YcEf4k+X9jymH
AwLwFoZL7YiJzKFd1Qs/DqZcp9BsgTEdromHblbw1n9MORpulWcGRFNwrtuy3mPKYUcZm3Lg2SGF
+tQkDej4oXb5tSnXbI3EZZtkV1UH0f4ywrkZraDYIsIzpURyTXlRK1ck5srMi+sqtB+MIGxmJRZ3
NUoy8BjFZYHLr0mXnScyveGCe0rDmUMifwlb0jJvgcdLabMISB14YAAuQ7350kfphnHZOlmNIXaP
reyTGfRzJIzICfvEqfww9rBRgd1X0VJVmtNCatArSZ2ib1iLnBbYl2TeBLWNziCFXPJzHFsqWMRI
M4BYqpnFIaIkQL74mk5yx6rzM8qpWBSUnVuJ3Rt3xFfgBfmiiSqPsSA0LsuIy69R46deVROB53VV
R72rquiCytSK3ISZspkBd615TNpldBqntO5nRRnoxUzA+a/ASZr2W2UBL9Ik6Ream5WrwmZh16xc
5Nxa537me7Qp2k+RnTRzUmVL7uuFi6UyYAfks6L3dSdkZJb59T3W/c9a2Z8pqt3UVLhp3ZwZXerV
mrpsG/OK1Vbn2LkFsQK+6SRf51p2AaSb5mSqWlY0hZhfy0/tkObgCaKbutLOgPicpX6xgu3iOwbC
RmjNKeLqHIKX08AvLgOWrgRuV2Dvv+mdvGFhcooj6z5mtRea9NRHwZUV1tIpkvw2yXuHptxLcn3R
mPKmVLZH2uYssowvglqOzuw1s+V5AvGkawvYhiP2PUXZzEisFWmqWZPZCwN2Q5TJpc/lNYNNrpS9
RyvbyzU0S2m46jNxBeSvw8weCHMD9kj8pW+yZY0jxxDpCrB086iZQ1ZkFfnZShJ20RNzDreqnEdm
tMgt/W9sggPO1TIn6luQ2dFsgD6g7M4oITsh0MK22ktUS+VUTF9VGCimIlqVFv5UdI2reu3eDMlZ
AtsCkJqZl8fiTCKIMyHWZH6xYYZ06zT5QqPwPtPDGxVqcz83L+FM9xxXYqVHdeJYHbpsjPZbDUq4
EBh4cYou/bo/tylygcm9DCiaa7y9aNrwLJMCYquu3JQU39SsvSm7GDycoDY/UbNccKsJV5ZvLDvY
x6/KRI/OBDC6IYQ5GUEQUcHzMtviSrfMywbBlKogrE9qqbmF1eReLtljF7QrvRWeIcgl5cGntlCW
1+YcAp2EeqQo/lZRB9OPWMCZ+ou2qLu5Rvy/+zJZNqwNIaCp7mLgOohGKERESs5wBnQLitPcIcKg
rhaWrZvXWjrDIVr6hnFjlLx0NUMoJ2oB8ToCCijXFtIAXraOstM8jDVXkzSaFy1aqqhaxH4wUP1A
FctqBrMD0MJYOayS1wVQE25qyAtM+tINO3mRCH5l+PElKbQFIs1MWMUqx5g7TSEeckMAGL3m4UY2
XuR38LCU9clM7LMMQkOvzCLipLEfQ76tVa4WVW6mY+biEFypiOeXgsPGGivNFTj7S0GKyemwqF1N
9KsKkWUb80eLFMCH2/jUz1PTaXkYOWlU31gp/qyYda6ZwamtVQl4Tmnu6rxZQj+lzqkNsABCS3KX
QQLKw4VfOQ3Pi3lUdZdZgRrHIvwKGLT72gLHNwzbu8AyYb4Dx51qyq3t+MoHktQNCxE7pIzuWS1S
l/GQOYapNZd9RpKL0LRi9yDh3v/e3k9gw/3F3v+z2cPu3j9I/tz7oTwJQ29Z2MSpSZgOR0Z+hnHQ
l9SCdPSPd7b2fkqGlDkGJhcaZr0O48AtQNDvECqioGDdNoj9nr0fSp3Hez+l0JoetIP+8wak70d7
P4nqVPZZ21y1ia27RsXzOanDaJaDly9oq+ZSiyVxWtOov0J66CIfwgI4/kQdo+Dc9YEC9/whfAiG
OMI2hSO6lLqWzoHHVf3aHMIOIP83jVXIGY2ATcwT/5ZUkNdN6yR0upoU87ytixWkEWdREH6GzXLW
6MCHc2afC4XPwT5/j9vucxOKc2rEV0VSehThU5jckcMi2Gi5ILkXJShw+o4kXquDLQbqLoSpb20i
atwDh/p3XGubpg4Lj/qdAMK4a500E4+F6MDh1rWV0uvKQ8AeO03cpA64D9+60Ig9ZloIeKVaOXWl
uFd12edQZJ+wFcwgaRM7tANes6hUPQvKRRUsA35m5eSmkNYSItZNn0DaJL22EJAzpIxX6UCgtdEX
URDHx/5DmJp3tQkRqB597yA77PEEf4J8F+zqVa/P6kDeZ5rCTlep3K2SMIH8T9I6BSOFV1rdrQiU
6SnawKZo65FLkrCc6WlFnT4zeldwBP6/H7GZpizpGSo4jUMDWD6NLKpKi25MlGCvhZSME3XgeCFu
1p6ZaWRZFjGHpFFTu7GN8vNeK28gJkwcQ8v0RdXKM1NHHLwxxedGFZmnlc+6+HMaaDRYYtmLL5E0
NUi3iCKHx1f3bkuA+6pb3sxS0/4O2f7TNqyvQlXGLhFS0aXygYb+uwS2/VEkGQUHCyXslBvIn5vS
QldU560re1a5Ae7SeW6AAyB6zO/txv5cKt6eQjb375i3wjXrnF81QNd7Wl6Vc9zZdyxtzogwF3np
V4sECP7TEqF7rfKRV+kNmbV+ny5qoLBvhAH7LpU4vZIp8wodniWR9bINu+wOZgB1c4NC2rxI2mtI
NcgZcHn5HTAD3yQcBb6gMa5dKwo3OQpbiJQ7fcYZWml25itHr1p49CZyKVPVaVn55SkureS2sIrk
qs5oehfjTnk54qFbG/ldZitPKUtz/o+9M2uuG7e28C/iLc4EHy9InknzYMnSC0uyJIAjSIAkCPz6
uyjH7rb7dqr6vZNUKolzZOnoEHvvtb61YWc7UVZFhzXuG7TGDhQWdI50EuZKT2mZOQEKbYdJtogq
X59NEJx3pirj02Tcl7UcspHrB2LCIQt611DBMAqyMDXUX0Pn6Dipfm5qrWHkjGVekanfr4NovjVB
pA4t3D9qR3JqNF8PGHtJIafUohe3Q0njKJWbhViecxaQC7KYS7UN+uk28ifb8F9vMsC6CQLTJg04
BCKB8hqXNptw8G89grC4LXf6b/Xof1vIpG8vvxej7y/7UzEKt3X3BHodSkcCqfJnMUKoMQFz5QaB
7waejz/6MYhiRysuKMHaAoiOIRgv/NEfgyi2agdAMrHCE7uHfP+fFCP4CH8pRiDBYmidmJV9LGz/
TVMkKxvTmfD5qq6m4UTaNLyQ/XpG+nbMolk+xBDGxnpqDr1IWvvOhRqdmxknpRltlcG3bG9SPvR0
aszNxMITGmixG1uFhtQaAEcYDPdVu4Q0HPiONQs/wtV2MzaUIYXvwHiWLmO/65Khne8MG55SPPLU
iRMYkbAW62zwVXhaVseeoqFfoXqaTUyZ2yY3m7wyQWfB7GTBOkF6MZ6ACOM16bHdhJlhk2j8Tawh
32Wbu+FTxyGbpDNs4s4iHTdPNsFHbNJPu4lA/jZQSuhCzadAxLws2iSjCNoR2USkZZOTltau1Nkk
JrWJTVKrS2+TnyboUBJ6lIEuxV2T+9Cp3JCd6U24mjYJq4LHQmuoWnpGb91vQhcrnQnz7cQ+Si3i
Z2PrpdyNEeYKwBbwwbnyDqmcb3kT3JEaleY4xNyZbiqvHw/AJbJ+5PFhjIzq7+LJTSXlc5ksNEjK
cB94eqlpVEYfTTnrY2XEvJ/7pslt11+bWl3G4XDqW345uv4ZmZydUPrkdHEuLDyMTczFMB5Vw5vu
/dtqSp/+PTw+XQkPfeffN7Pfb+P7/exA/carfpwdIHVxAxXQBB+w3Hdc8+fZ4WGBEf5nAi9iE7r+
aGSxERbNKrahoLv0tiXPeKJ/nB24FtrFwQFiA3+IMPU/amQhlf1+dsDVQDONZRxQsJDo+62RXeZ0
dQYR6yujA5UUfCnrGmBlanJmKg7jtDybbMPgH9fL0jx4s4eHDSnvajoOtnIhJsW2OVcm1baoV3+y
RaOHXowU5nEcfVtjnXS0RfNgi4nJylC2ShRjj6Ufqdt5051RSskd2oOwzEtjbQpFROgYH3+ndCAQ
xcy3kGAaDbLTCi8EczWz1Ss6n0lb4Nb0zqMlQR87zY23n11ozXu5sDD60noOj3cQuI6V7w0QhuNw
OgCDM4c1MHP9oQOy7lhN0C0yVndTgWXb7oE36+aMkva1Kvs4T5n2HGoGsxROK2O6dHAjUt6g7+yg
pS2RjF6XSHFqbRfsJ9c4nEYjnIrI8I9YOyHtevJR920IfJN1RTLgzwYHWJizzHK/olM842xQZ8Rb
ODqVzqftNEIqkU7/CqWzob43wXfs/KWh0oUDNEfo1z1TuQciQ/TwUOpfPNJaGlvBTgMQm+vQYEKA
qZTuydC/N4mN9kEbsGLgS7hXYqoKF6IcbVhSF2E0t9eNO6tshM7RDYtPu3HUBXHAqDISvHPliEMk
G3wsljagHQvHQgqWUDd2XgeIDIfYtnPmpdCjuJQfiS5LeP0Vp0kHmzvXkhn8TH6yF6JTJ0RK69wH
a3SB77mjTMQC/dGSVXPt5hgGQxol2tykaRntdSpAAsw8ouAnmiKQIaF6LpeitxLfJgm+tn2Do3es
cdjL0KUAthhFkTN0GpYRxktQ7702Hm+YGT26Mj3dJBWYNmu80cusMc1RCb/dWUBUhVqEpgr2QrF6
yUxVp8aiXPvm4LWSZ2NZd4d/j83PY3NbdPv3x+bnhdN/PTU/t+P+B42Hi0twEYX3vT36hNx/nppY
+YWGC/9C5MXHFWJ/dFwprgNEy4U2zQduEmxD+x+nJnJvaLXwbx5C63AF/oGL68V/Gf8hPxAc6jh+
Ca652kyGP0v/4D0Sf51JeuV30tA68uwA91Sw/iZweu4XEQdP8JwGvrzBLNvHp26p+swu6Xlcp+ey
T5ts6JrXZhQnMwKJ8ye2M2EoOB2CFnOYDOyxX4OxmJf0piH6YyMSskRCEp79vZP4GVNVzqJx77Jh
T/rgch2cg1O1r5FcgyypxTmr9U3jVzWNJ5kzGR+wXuvg1jUERqmzKhVAvWqzR6ro0rduXvlwdTWP
2t3smoPxYKP2jvda43SFfBkdJUm+Yn47Wqm/oYe7ICkgm6LEz/aUyjqfyrgB/SrepSF5A7iO1jCF
oQ+I8co6zm5FxwPO1TuMkzhbmnbJ9OTWtAkcWQxd0h+RW8RPC4c7V8I+dpgbQXqDXa2Vj8M/lPDt
AuBF/h7jG9vJJmCZJ1lS1Np7IY08a1Sz5GOYSIr28alby2eY1Xe8F1fgbXDYdmW065SPNsvtjxpe
KP30UDyni3JXhwsVHRF7HJBBPoNMzMAOnw+1uekiHBEMBzL36zfTLYS6BDAz2NEH0oYeDZh56f1Z
o9n0PibfOXnLfITpeV7LCnJoOqFGACA8pHrW50KC+Dehs1ky07lt2vfO6fVX/D7PpujZdkBqKqjh
bXvdjvXJjcs7reopk7qpFcjYdOTnjt/Ptuirhm2KUCt4DCSgScfLlUXJsVUkdDDF831FiMTMjMng
wk8cfkoasex9IGVHvC+DW4RuNex5SdK7Ei1lmrXGW3s6ChsflsigRMkobPN2XtneM4K38Cqkf560
7fxIREwOjm3cr/8eh9+PQxwff38cAsWe1V8mUBAxeNWPLhLnYYLCCPsSCRgQuOjS/nQeJsjrEtwV
EaF/wyz5cwJNcbE14kXYgJlGOBl/lUORoogxuoLo+udUy9aqDn+OLUTQQj/lVVy5izs5t3XYfz4P
VzAkwBzL8KqxQ2KONhZd8LrwYCqvgNAFXXfhANk+kDJpM2fmdyZkIW0wtOR4dgC1lLAckWhoijmd
wlxFnXtw8aHPyRrIbF7Ei2csy0BfvNhRrXkXIPIiVQzXgoFgLOvregQ3xsoJh4kK6ULArhFj3UOV
Qr1rZq8E3t0Ao3G6peByanMeT2dzP6TUS6rHxYtvqqDfx20nM7Hm/WL31ThBdnM7qC21uLFMP6BT
OapQRbRqBbDcyWFZCpqOVtK+pLW8iePRxSXtfgwJx7/23am9mEMrdgBW+9wvWwFWfPwISvYy1zOM
YScpJvOuVz/KwcsXixOwvO36i9UPH4eeDVQRPRxChYSADPSQNVDGaCAc5IVw+mbesp4FtqoLX9r3
mZS7WSxnXqr3XoKBdhB7FahCAmn3a28BFT40mVyC9ylFgEGXlqYu9W1w3ht7sBFA95mVaLoTeCJd
dU/mtsckPRw6ZI1WUd+3qQNFrb8ZpHvGnTlDPQJnGXU3C36lcxciG7NWst9PDgQ0Eg8nL+pee8Xb
DAmnc5jK56Cee8BDWzUkW2H0Vncon2vZMr9Qn7XTsZMZ9p0HKZm5OF4wQ8O+ipfmmx8Fu5VLDY9u
/gb2aJf4Kcs0wR9Xs34fQ09lNSR22i3rYTL8MuxLUjh6Nbtx4h/awTxRE/MUu+n9ZNcbb/GekY05
ucI+VbDSsjhSQZGw8K3y15N2mXlu+djA5RqQRgn6jCzoGiN3PNSRvAESekAtds6R0bg3FX4sCB8j
ZYxclauCosLtB0aufOZTA/YoTospNu7BJh9eLUIAztPDMoFu7YbQz1vQ1g1Lg33kVAhPIIYyeFEu
If1ljuDfWDParJ2N3RFdD1lt2N531FOlxUHgscl60q8wO9E4JGobsWAgeiA5Vx2WGRCpa1M6X+Xk
gvsKvLz26y+QzBlYdT+hqjQUT3MONvPQJg3ch0mcetj0lIOkn0cSUR43H4pPV0MXviyqPI9bi6Jt
6kukmM4GQFI0FulZD+yfwpNZshoElORo/etp0ftxBdI58cCjfopbhBvyZBNRAIg4uoo9BU0w3Fkn
5tThBIEXP/qCQnW3+g68b/115GF1HHh6tOt4VjIynJVCfY3Xco+g2J0Tx0cekCsnVTfcjd+H0F52
nTw0Ap9NGwMqGjz4gUjN3C6L2KMPObC52suap0Wzpj3F0xM/q0UdUdfn25Jg+Kr6dtet+iyeVPOv
uvod29ySeH9f2v60COiv/f720p/1DVegeAkWAELFhEm3XaHxs75t4fUYCUrUKuyX26aEHworwUWk
wDYTbIFGZu4XlWTbY+P954vBRoz+SbuPqvh7eSOulyKQB8UFV58CIP21vGEU6NYVjP2VcRYYUtSf
Peh6fU/qYzzz/qoKkbbk4C1i8AWljSOgD01KLXNvgzK8beT8LtxhpCvoBMgoZxy0whLM543vZw4o
hhY0AwHVYP3t+AXnYIbg3G1NSwMQEECQdiVLzhXICCQ0bmCSfElM/xjBaicgKAimYgmiAs74sQFh
wR2H0RjMRUT4gwSD4YTujWnay9lALAWjsW6mXApqIyZ2H4Hi0BX7Eo3okvETFa3Ur0BIL8q02U0y
eA5Yu1/Ag/RlvJvAhyzheFmCF0nFuoOZkTE+gPoAMinGCyQsHnFx2YF73mUKgdlpxFXt1ZcCPAqk
pnwEn4IM6xN672sEcS+YNhnYzX0IniUA1yL9AUmVDyVTv+g28IXPMyh78rIlsSqQMXW9HB2V5pBc
bjmze6eucYxC+xgklCRg+OVaXaETPiCjnHtgb8DLHyxYHGSCX3uwOQD7LjlYnQXMTmTnE+a3A1B3
moDpSerhEkJZYcv0GLDwNtngHwIKaNpwoLDVF80GCHlmPBvL5iUQ4W0KgohDDd7yelcz2CLmd7ll
y1HaPlNgj+p0RZinfAg78wWnfBH3lUdH0Epls4aUbwBT0o0X1YY0xRvc1Jq5zAV4JyjaAJ/GFRoO
UCi2Do++P3DagZLqP3kp+clOfZfeyk+mqk57fpyElPVVaO1a0TqM+2C/SLjCqafx29/8x82IFAiy
grYYbhsBy6CP5ZKpzbj02g3HiOwCIBRgcbtWgqaIp+RlYOtb3/P3je8qGsEPrXtPbTEYgmkEZmnv
W7BIm4FaD8lYTJupOm/2KsJgCDDDca1CM+ZIWq60RBBrh5TVkCFiDkYUXi1BkSqaeMY0DR+3ImZA
WvFDbwZv6vj3DhxfQYIcTtyV9aNdCEd4VI3ON+kITcV7ZcMLUk+PjsbrLuRmK+P/C4N5AGGMRFtR
bd6z6B70ZkYPG65Ubga13azqeghfGWID1N1sbCQk51yF6SWUIgYOu35LHfiPSzh32bIZ4Y1P3tmQ
PvfG/xLBKcf3D19AINBgNhs9GOCM881aj/oahbkpK7oM3mGA/x6Q6mqBH086/RCu5mNO3FMNvx6j
f7VbnblAbOChsn6Rdu14aUo97rrN7vc341+AAOgHzoALNyCGPmfVMKipBrWsa4t3eezeHEGA/Gxo
c7JBzjVo59Jp9/WGP6d2ebIbEN2CjK7c5JWDlF5DzPpyg6cRQ4cVDJw6AbjGNsDaH/0dGZCRGgN/
X4LBnjYYG8dUNqroWLEZETrw2oYF+OJO+K3aUO4YwVagC6/OLHO1wd5r6eaIwz4GGwZuUoUvMAOa
2AjxDRUPJ0DHFvQ41wEw8tqYYt3Q8rUsvwYbbF4OZYLPV7AbNxA9TTUe0Q1OFwKPpdQE0iXI9c71
1/2ywexzBAa8qTQCruDcKxvje1tOAwj4taskNYg9A6g7au5e8mlBCsw9TRs83zppSivHQOkEWd9w
906DtI96fo8QmUsXMPi9rBdKQg3CGHx+NSOM0pvmi+QhxoJuSPL20wTjvOl38JNgjTkCLtmy+WVO
DecshO/PNy+td4mzdzd/DUATYKTNc1tn/wTW/AZDDPDDzZdD7L/6lzz6T4QEZfnve5H/bYeqf/9r
G+LiVT/aEJg12HoYwF3xE8wg24Ksn20IrkwF7YN/fN+78UsbkiLhGLhAkcECf/o4P2RHdCgbxYSF
qfAOMIz/s40cf8mtY7D2sXshQJgb3yf6m1/7ECYTXdcBaa8cb3xiFQZUO7evnomOrdf1tI7BrMi5
SIATuQvY/4Cdp2a81KRDGHF7GLpq7DDoOZlMZn/HInfniuBOV4tfkETM2cLMuTuVeewIJFQxp1QE
klnrtec8GttscTApNOqli1dGZy98K33oVYPTsYxF69lKljfM2mNGGrimsMyL2CwR6mVvC3d2Wkw1
0YpxA8NvMgNHAeMRZ5Poza4X5to3GJl81p7NawQ+kE1fAyTyc4Tr3oQbn5CpGfJxxXzDFtVA2Qpo
xPEk90l6bVPvcSktw4wH0Y1zR9M2mfBf47rKLIP303WspEmJsj7tTCJKOiLeRn29PljOLlDfz4Zy
OOP4magwOCM637/VVZMvDJ5N0/sXpeffl6adYBrPHcWVQ1jHodBGDQ3m8TAMDl1gwHWR4ZFE0gHI
ZdgM/HIZK3Y3+fXwjEzpg7EhEJMtiRNMat96GsHxUT6v6Beqvtl3g45pOEeChhoG+hyUPjoEcsGZ
/xCMwMnmSl85uL+5aJrZ5n5kWWFTcLRMps7eEfNt4PC3CHGfPfKrmYdU6pmIX6b1BdHdXTjEL8oE
Yj9Ldw9JihVy0J14SD3e37Uu9IH3itk3ELS3NnDhZc+DAJwqOSEv0C0vS3y+j+7Uu4d18sWVL8v0
KuxKdTLAaMIUNrhG/Zgkjk+Xu1XGQclcBrWF+lqJTu+R/H/Uvc6TquMXwSrekQaEIi1YOlIZY2am
/8qJ3+VEuMH/5ZzrXt6E/H/OObzqxzm33f+M8ASwRbCLJNr86p/n3AZeYs7CUfMbz0JgPKcuZq3v
Obg/Lx7CPXkenDksTfkerUv+0bj1uRnnVzURbSO8TUyEWGaERVi/HnNiiGwTmVJduW1w3wh156vo
rAvVTbMO6HaWkJ+Yi+LuhQc0CxgAmqbclUsM2nydS+qOGLUSo+cc09Kti04440PiUR1OMVXWu5lc
NJ1hiq/VJwIedz14x5TBURx4eyeTvqa2FwRGwnrhjC6CGj2UF4SrwFevETIIE2zTdoFOISc9Xrp9
d49b16ML5Bn683pDrEWMrBMr8Yj5bbIPFVgUAnMxizmaNyv7e96jl22dbkDHqY7jEO1KMrFCNQi9
J2H3jtUoD1gr4WyqyEEEzh3kdtjco7qwW4LcRuwVa6NqOkYzsnQCaKA81t65x4K3hb/IIJtSdhCi
ZLleZqyJsXONd6Rp875dEQ6xaigGU79oi2N+neTbPOmTNw0aoiB+ILmURyXJtXEw/5i+cOz5PHmn
NSTPUR0fhVuHNDWRm6dJdC6ZvK4wHtNwIVgQtXpXTSxbCHhz4REXv5IgUXRiTB2TzaHFsohbn+nw
JnX4t9Xvb1RPkBVvAwiFHvd2/ih8qpLF2wUxShlCH1PRNnCYykZ7MMDJOZzlo5kr+MSS5zXpb9dG
4cixs1eMAbbbEIXBM06xdiR2MYiwcVru2OQGWemlj8wRNQVbtx/dGq1Wch+m9sVzWL/vTEMnHHto
0tJcwCmBFSfRvYfDQbuLD3FsPAUefhYrx30adHXWlF7vXg/h1N9hDMdfLBXKgbiyofxWCS2O/uJc
4wP+kgpMUbJm/Yk33lc5LhcS6zJyh4TY/6SD91XP70tizE5N60BHRcoDNli8dnhEqcC3kjXAn3aV
nu8in6mzjrinpa6fBouwxojRKxJ8L7RzPhoD0Rihpd3ESo+KpoQtpdTlVFs8Pss9Z+XryBNy6APs
DKmd7q60Afpsf34cg+TYjJjqSCROwItalMG42xHVH2MWob91+WmZNmagtnf4mvocpuCSrakQEB1j
mX2ui8Cg2ey8dPvlrYHJYGDFuVeGj0rUMlsssqFK9f1J+fOarQ48OG4qDCOqnTK7KvGVuaAJes7l
dQ06kmqgumtvvB2ZuwfiQ3pkE0dCv/ao8kWFX9DQF2Vbz9gW0FR42if/qCqYqKKOeS79+eha4h5H
wo+JV7b7GN8LHeMAsuf2lBKkzGGvWSrG/hBO0HadOK8FgNG6ngCttY6HJy1EngGTBTUhT0CDqHwK
PTTn+A9OGF3XGDeEWr54a30WyfkkAnOZhvJuSRbMNKrbg2JpaN9Bb+8b73JZ5y+ViHpoNfy6C+eb
Br4CadYL1dmvqoR62mCbGe1E/YCNP6dwdQ/gY+4nErt0nHuXukIEsBcwnQBOSFwpdp0hivpyvShl
cNP0pi1W7RWJP5z8ee6pUTO06PK5Yt4V1ipdYgvUNXK26NEW9VqWEZKVjf3acnQX4Ugwy9fds+oS
ROENRrDJB0vLw7ONESqWFp8arP0Crhxs5DJUL4gLsIP8ggssrIkqkf9bwj9LeITO/e9L+Pfb4v5a
wrdX/SjhuCwnxW0amDtwkVIabcznjxK+TTHQRLcbpUGeAZb4QzGN/wc0Krw6gGX/gcd+EhIR9v2n
SMdjgMHdiFsw/R8QEtga/Jtkir8Yu7U+bzUPPdzECPr1z44g4nAu1laI+dK2eFLXan6GEsmxuWEC
OLS02AvSPkZeWWUIamNTHdFIgGuFkPhy3SlxTNLSoQrHHQVamiunQm9eX5jEaiqQ4HXd5m1xlwbT
9batydEdQuH+hbAYb0oX+4s6NVz1q/uobfwM+PRrOgJCIjwNd+VnfN2xuxY+PGLHHOIKlI6EORAN
hvohIv3zYMSXBZtMkAVUQ1bG8YMcJwAZ/eOUOo9lb854nFwFQXWxNPx8EtWzEqSjVZpcY9HPtzZl
pOjwg1EsI4r3vi9OsyeeAKyaIsS+H3xZ02Rjqw/Ibn8x/iALNuldGNoJZl2gs1BXLcVg8TZyqDGk
jc/V1N7r3jYZYVERNeRWVOnbqNLrKlrBoo9QnFxWT0WpNTbXLV/dpv9WTuKpHP0rJfpvYRin2dxI
BsZCJweVdNdQsA4VVzSs2XPrQy8bWjLkOm5aqgfxTXvpReMAqu+wY4UOCIqBXOjSHUKtMoOYfw6X
5DSG5XnP2txWg9wZoXeu1CeWpgfmR7fGLh9VWL8nnbwPKraHhPi1YxYST4JvEr+k1JUR1TpBUMyt
RxD1Y3wTL+qCp+sH8oIiR/50L9zSzWZZI3vh+o8hi27DyZQ5Br37kPkfWNGyHE21vTya510YzF87
Zz4ogZWEcRQjyThXW5C/3sdx+yTCutn5w3yJZJoLjQje5ehNEXVDB/hcs3MTNIXYvbmHaygoa4aF
zgN+a4jT6MyP4nwOgaGMluziSql9qYazquzGk4VNmksE42ik7W3SAl3rkaIcwzELLRY8YnmPpO60
epRYVQOrwCcOmJuD9Vj4EBuF32HnD9hEI+2dYLAa557sWLnssNztzpLgVOkmoInf9lSN6OoYelbE
appvk1i/YufKRJN4eHU9AWpHYKmERj+m3eqAPL+TCYcf3N6pcydp+sx1xR5u5B4bpuZMuU56QHDI
0GAh7109npMViyYH5PQL7MNC7TfAn+elL1i3fhFjdCp9WVF8GjEDIw+q5hRhPOlhbLWDve7W2D8L
+6bPMcKn7Nj6KQ/yptGPPhidpZCO4tUD3oZyuvKnhOkiruDsxmXn9vcJNo0IJG0GiwonsY0p80iX
XDslr+JrM1b8OhhX9lTNQ6FafIRoyMPycsAGi3qKEZHVK3UREuRJyu6w8cxBkilab9BEn0o2Vgiq
JEsQ0RnUIbL8sRqP0F7LmI7VOsGydQPs3sJ4nGEovxEiXoFW1YH/tdGuW120/bAJ2y338jVOvrls
ntH/xUZ2dtuhllrI+SE8/KryE3bvYmedevLLhZU5DywSsaPbxeVzE1U8vHB92aGxT9d5+FfZ+67s
hf+1XP5xF8FfS+b2yh8lc1sNQzwvAmsNQnBbj/uzZOKeA/TueLD/kPB+mIwJ7i5DPj7FLLPt6N2q
6Q91b7vG0I3Ab3sJOO0N+/4nJTPaSuIvY+8nURjFcRBtO3yD30omKp6IGSFb4arEzjMxtpP4SJm1
qDtYhkkKv5Zb54vgV4uTC73pdBwj72MRbgd8rdMnjW2GtOMAZyZ3PjDBigjvB+JzaBpFP9e7mbVF
ndSvugQc5kGcokuP0BY2XPVF0kWEOoNJr5GF/RJJIumo0StHjT032B8Fg0QgePtY1sF911X9FXpq
HC5Y3gFdKmHgP7zq1LX8sQxZAxcvvSHNtFJo2u+eI+cd8x1934/pAct5zuoBaIa7YrZU6+3oIUcp
hvbYOuPl0ksKxHgfuarOlmg97xJ5xxUkfWnEhYoSiykggKOf8qxk6puB+YRYFluKxBqJhXjlnlXj
HcSnHV+hyqMbx7IRWR2XNnn2PCzz1Ku+XNgIIdIybIIasWJm7Q5cVHi4mxkrIeUWXrS3JfPMIXI8
vDVztZy1lYXsGLHLdKhOKWlGJCfbwk7OW1238A3GMQHNXO211RWYJJCIztKE1OMA12eLnXctuQ5Y
D08XceMWXiOdpuAWZhnygW8+ER+A64rZ4C2rRrA63FMvfMZ+RVVCQQuTCaNJ4GPJG6afIEZr0i4I
SLZhlcVGHYhIbw1i4Ndj512Ma71iVa03FFUkVO7jM7y3WPAZ2gSpxCXNiRN9GXqTnsYFixgSGGLx
WF66alhgKDfY5deegRK/xsmWTy3EQt3vxIqJ1YuqR+T1w32/It1dYhVZnrbjzlbJhRnNV9hru7Bf
nqFeDscuWG4RmrfIEOl3/M3Yiha0GHNH7wrxURRRz1zXK0GYs+EX6eyU50sgXz1ZJhRL1XyYS338
zJ0uKUaIxVFhekw8rt1FTYQVePUyXLLFSU4DEworywRW8iTQjFO8QSNqa0zesMFSnxZIyaDOdnIA
FxSUOxMFiJOW8ikNNYcAjcGvGfBXwMCDUYgIkFHAzPAWE4YlMB23X4JBeJgXYaMHQ3JHxvhs8sz7
RgflXhPdtsBpzmLsjLMddlNzmM5p3cPIxCYN0E9vtR1SOLLJ25qATA9Q/fNoSRW20qibaRR4i+VF
2bgkT6QeTiKRSJ7CYh6bEBueYa4DfJmptxq8Yl0E7TUzu9orP9qhvG6lmbGCAFutFz6LLJ5BE5W2
PRv93i2sG49AXmzueAuSu/1J177Kq9J/qgeo5nE8Tec8dNyLQMvo3XXL5l640DrahWCno9dyLei/
w9znMLft+Pr7YQ47RKf/z3b6tTBtkR6s/gbN4m97af5cmNxNBU3xT/Ca27V7/ylMuG8RSiwW2aR/
rDP7UZi2i8+xaCyFXxWAqknDf1KYPjmaXwsTpFiMhShJUIYxKfymxy7DqrDMlQdXag1dKDXLUZtw
BF4RBFDuxx3OpRlaqHlMABTmioXfUK3OJwgFebTta6xXRNgmyc8mLVwYnz1oUFeiFR7mfFXL5Sq3
iHUqBRzd+dWk/ROvWIElordNWO97M52QorodB/Tm9WiwfGzwFYgX/7zvsA4VyekvqkkFVsx0EzYp
ll+wSO0xwppYiGd2zeK1u4pYcOXpuEgB3CfteGwiGxztUgIuhZmfLXzdY6V84ZPhAxnH21n/H3tn
sty4lWbhV+kXgAPjBbAlQXASKVKztEFISiXmecbT93flcnXaXdUd3tfCEbZDmZJI8A7nP+c7oXUo
WAHg+H04hJbcdnmamNCuUp2AjgGSdSXgpzDqD9bqxODMrqKnUevf0mkw16SDdnpfFpyj2QXyCFRM
h3i2jivjnHJbyFIAGCNRmXqIsNcrJfJX5tzGeYPMHNa3CTHsw5R34A9jDvt2XqYQHht5YQoDQsKl
6qEfLpxdzeWnQzDoPJj25xLz4lZBHl114IqrqG2+ok51T0mZ7S08FKTmq3kbFa1z25L13tj2yLvW
R5jZwy5cp1jfAK4WEXNuTWxhqGEiamBTmpMdXtXQ0LZLRc6mDrmb5oXBajayRsQ5uSJ1zpKdYUwZ
gLIYi34kIekLyG8xgeREs9rlAXlx1jE2E7Ml+Y7102eKnm0arlbbrjTyTWEkN2Qhj0uX3IJ32Xdz
uHhx7vwMFlBEiZ2bHBZiw5v7OdlogT1vAXdlGzWJHF4IbSZ8WbvbLoEDlkxNv3V1wJh52EA9Byl7
x7XX2faVFW0ook12rHiBN8hAU2sYyjXD/7XKF37TehICq5EqfCcEEJLMo7OaiX1vFEC16BdpfLDQ
P7ehHj3Menvpe7XYRIpDNryrPsqM+0gcCeDIxKkOlYuuxjECuP8iX6JYL97G1koeC6i8qzZyi93c
02SgT2G5whqr3eLZwjxSLdiKed1XRsNl1hk5AUQjJimPk8iPVEbQ1MQOgBzkyk7tONdZmcxiIJnC
51zlLmcoXOQ5ToUEnlsyOl5T5dlaYGG4LhoEpam/EzJS1WIOjteZnp3henc70K8/u2L56Aij+V2l
9dxTsuYUg/FcG5PgaFSLvZhHnKCKPWydoDDvdKV/Ik7SKZ7a9dgzI33SNGy51efIT2UvCjGIKMlw
M0f1VonnB00ZNdy8oVirg3soMExvxnHWUHp6Ir8tBhxI8BiW8ewUhXLAvbaLDeNxkFEIHBUPOdkI
Oykuo92uFcXmTPgWkKDoSzG8MOMAmQHiSYYsChm3cGTwov+OYMgwRixjGWGq3uh8t6iKjsNg/qxB
Hq+1JTupo6pBsLCfFhnyiJPFYcqb/2htMPZQrvcliRBUtxuc6CDWpQGnkLGRNNbA+g4RAMG5xCkk
4yUNX17IwIndAlSaZQhFq3M8YuF9RjpFJaVCnoZVUK3YoEmwxCRZplQIpkCEW4a2DH3SlnDqOCvJ
AMyQEIWxZSgmIx2DN/y5x7Do2Yp5cSfb4QZAjAZsGF8pozW9DNlUpG3I1e2goxYYCwM/kYGcWEZz
EhnSUSbX66bmq5XxHWtAKYl08UogJLc2JSmfQu8+S1I/RW+9EEHC8kMeKGmWj0kGhPoSqoGMDEUy
PJRri5cJ+xyRKopkvEgnZ5S64BWHUtsptdjNI2dmGUlS4vFKNclNpreMZUgtdY67s0kxaaSZFA7/
IaBy3tP1lGn8t/UeOUBT2rj/2cY22Zix2wzlvO+k7byXkQIzvQKXVtgL+nVmIM912TXHsQ4P4iHD
wR6JYoe+AJwMb3sWd2tkI6SSoLXhriy7AHh+nCECQFVr8cdjDfkKeqxg7GPKvG0dvXUYcqXZOhTF
nRo3zeY/Z6Pfz0ZYaP792YiWnPfhq3lv//fFXXpv/nlxZ1ytAXIAl4D99puZ+ofWzSSbElIm0q4m
mExLR8wfF3fnNwsNGnSQq1Ok8Sdbjv0b7h6G1Zh8ZLsOdKG/cXGnYud/XdyJ0ciQN8AHwIM2wsKv
WncROmwkg1PeqmoW7oihbKMQVwihjWNvD/N67PX2hntwuTXUhYnJ1F+KBMiMUeQfjamX6NvAQubI
2rhGM6/DURg4N6N6zea8SHVb96LOQaOuBef5ccovdeg+RxboLvCixnpSlyM49BsiW/IiyJarRNt6
rp4DJyzXAEhOSzNj6CjTYYfIdggR+lboVYfFiUngmvaJQOVjaFX9qoudqzvaKUa3mDl5865bJukH
K3wacqsCrRWF8Pi/r5HLSRT28xSAbdcM48XNymcxDUc3BdVmZw+KlZ86AiyIkdFj0cBRUzSaFoLx
aC/mXVEkvhYqrzpoGtJ1PiN5G+9SdVPZ5QuCzNmIcnCGFo6+iXEZD8V7lzHoKibMkIrdbWKxRFyM
MuyWzSSoIqjnjeMU/WYYhpmyDchuJGtofjB2ZQTGjBnrecwYyoXLqG0BwvqJqBkdDwmoWq1YK/py
MQLxqXfVQ9rPPpjpnHBfcZlM4c9RToYc9FpgtxfR248RIuymMucXZGDsLaNVeZzi0WUKlBsj5rpW
kHfumuXaTIXta1F2mLTsK1oQW5xOfxQRruuGcP2a/MRtMtj6OQvs3eSE9/XZjHCVM9EenaOYQQIz
fPFjm9sf6KhN3C0Q+Ixu2Da98xIJTjt9XRAaR3nAA1as0rz8TG1RekmHE0evNT9z4G2rHKi7eRcj
EmCGSj6axvgCo/nFiTzchbV5lqxycFIh/TJDvklQFp4MK6WWYXbYdhjUlEV9ANS4zyyNAoDIb5yQ
YS/dEJt5mvS1Hop563x7hgqr7zbjoFzjavzhLunYrC0VDIjK5HypoSjZzNJNpdbXNTdOV8iJrR7g
xnBsxzNNZ6fLgXzZTO+0FjwAufXA1m5UiRzh0eU5cp9LYzBgtjHa5+iH7uqG0ya1cQ8ztbTZyjED
kHjClG5ldy7wTKEHxopunT0YKcCBrbbKpakgkzMT2wZW62AC8Q1pPkA8VH1FGhJU8OfHGY9CgFfB
kKaFDvcCqXuwB3RR7CvSYKuoG3HYL8ygTabmobrcliWflERaIuDNXgI8ElGuql4lbRMC/0SGsNHh
p2jLa2yasA2wWjhOHuwnUZ6nACzzgB3D1csfZpvhB8CoAVqp2thkXD1lUlKPGzw+GEu6WGor9KJF
2TJuT5Y3XRpAmpskIdY+buKynlGieAyGPHiHrTCs9Lk+BdJLUmAqmSpzV6BPcVaNnpQw/Up7PjJ6
gW5YYUlpXQyD0qNCjhlAcJY9YOL96UojSzjx3BnS21IW4cakygflkME5slpxo+iTddJwxShxTi51
QE9wpGXGdpfAm6SNpg+Cch02WGuicTgNTepg+cB2k7nxfdTwNFtmqO2bLImgJfOO0xxB/9K8XMug
Iu+6kChqc9BYFf4eo256Tvh8sCIQTGhu2IAgowT+MHeJV9aduYskpgLTUErRCq66+pqbxjHDV8Ro
6SGQY2tNHw6BHGQb37b5tpQW+mrSmpf0m1sqvhmmLTTT/neu6TfjNJa401qCT51vBup/zgS/nwnQ
D/79mcD7yv7rDBD7X2km/MF/ngmM30CCs7tr/8Ay/aKZmLKdnE3f/MN0+8eZQJbnqSqivZDVVKou
4QH/0ExArhgOnjNASujvNgaQv3MmkFL9r1I+4SMOJS7UKObvpqn+5UTQBX3SZkuhXwqOyGoa39gh
tLZh/v3YCP7/3+DkHc43v3wjfhMd3ytjdg5A9KJZfz160JiUcmNMxws5hHTfUdBhbr5jLcCEWVTD
lLYYiHBaV966c39Tp9WjrTf0iWA1Wo/0Dm3SRkuPQ2O5HkgkysPmjhyQVUnDcPMytlW1zp2IYKiU
OqI2u6/4hmu9yi6lGhOjA2G7cmq9RlMe8PNzS+ca7RzrfFq7iDxrQiKLRAEiD2CJD8TgQ6PpvB7L
rtemE3c981lx7JNr9qDPNOMlMrNyzaZ/z6Jzp+QkdhTr3MXqwIbI1YG+vX3jDucxyEMI49ojCmnG
7HsYPF0GD/uhu1Lk4Y9m/+w6zZce2m9hPr82cuslvkOqdY4vVhMchZ3HPtbtnXCDZttGkqfXNI/M
YHaxY4brLIqOSGsfxRil/pCrlScGLL5ZOVWe0sv7Ooufr3XLm5bDMl1MQjcO2PY5o6KnMrxapG+9
rT02bXgqp7xfldp8Z9f9lq6BHbutgihEu9JoGuB0KUhbR7p1r8xVts47ZhK2++Z27HrG5PU1kY22
N9MVD4TnEOvm/Uu27Hc/HdDFgFisEzQZa48VkQWJcLJmz2ed+BTCsQnVQYv9VMsuNKokvmGM2yU3
T2EYhKtOM7cuRgrWYYg2igBiWNUEW5B9UO/uymKZPWNpn2KBzSykXYPhRXbfjv1es+AtNIb6SUyN
QMo4P2VxbNF9tdzqEz6xNiIo0SzNDziJP/QxI3Q8absyc/cYSTUSyOMW8e6aU5UGA0fc2AaBKZEV
n0tSvUQ2099clA9kfxPPrO10N/bGFsVqrSPiczen54NHDO8aMv5Gm6L6vUgYnPuLo3Tz2hITHAgV
rCzpCr0J25051oX0HfiaM8qLeDMdsszCODVrazVgrzGNH6Pq7mOLZN7C0YM2xmp4Si1DygWjpi4r
K5aRXoZcXproe4O9U0N56+TByqnfSbDfaany5bi8TTWpVAI9UiAaaGtoO4xyo1eOqbaHN4HUNQ43
TkMgXEEtsmKm8kM7xJJ3Nr6KxG43U1jBw1SDdcvcAnPhKjJbcBT40bt2N47dC71xbIsuE7JEpX+o
PKWCj6xRpBcco8dMUfZLhrIXhVG0WaYZDXYAsTvSBpeMCVzSXruj6Wo7ld1XSrZ9PYEJL0T1MjYb
3Kz7yISo0Sm7WdjvoDveFgvDClidlonTW2beD2OLcNUfqhJSEcaZpGjWus8hB4dNx0ZsbEbD3A1E
dhoNI0W8VMPWsJPOVzWk03Aw3wrYGd1Ujng8mga/e7XtteIWC8krMGEktNl86jrVOYFKMusHWZ4Q
OmYT7Bj0aNn/t4z+2awkV1G2C5kt5QIJZYGOjz9d4CBQGWYwi/lCHBFC6zY4TPflaZ90K+W9eCaS
uEemWAVH8te9l2yN/S8b3OX3feHXVhCpn//PbvGPb+/a7Dvo2BaizZ+/PWBNa1BEv1wGG8r53lVJ
Z05vSpmv/v730cnKAnlVweSqkiP4S4um27FnxRQcXbT4hnLRVZZ9YdIAYff/fJ8/736//z68nuyB
DMVtZtl//j41p3qr1yL1IqxjIwg7cM4zn//v3+U7c/vXF+3XX+Yv36SPVLXViUFcBr99wiK7GXbq
D8eTHuQTKOdwdddsEN99ffd4drxsdR5Osf/UboLNNTmMqx3D9ZvO4wu90uefzdP//fPp8sX8688n
aYwQhw0Men8lBGeUNAIyULULE4pzcFU36kl7Dg/4iDj/evPq8Kptp/W59sedZa3zI2iHK9KtT3Tl
P7aQfwS+eM3//UFyk/2XVzaEIf6FuMQf/OMgiVsSECdxA8Nk5/xzYRAYPt5CTB86bdscNP9HXHJ/
kznwf5KmfnWFSN1Jx/NoYW9Hl/h74hKZjD89R/hLHP4eViai53yW+Hv/8mEKgwkPwkAYwiyfRumG
hvzsKRx9V3bSNhcqRPFMs1m+WGYFHN/K6hWlBzb2ZoZfrTIUhyVkaEZjcsNWZz5zi7TxqjmU+2i6
5i8mc6Zclv1xKGrWndmXmzpwh3UtXd4Jdm9KEikRmpwIiIT96GIJZ1cpfAHNfmVjF2dBCHcNBnJQ
ws/BCNBhSKr7poyw4Suxu9PU8LPAfj4Z6pEhyhnKP65j6VBXm0RjJE+ivsK+no3xFkzbsi4xtiNA
vAZArDsBGy/C+q4OlFaENQWX/YgbmsnSh2hS4KHSM99Q+Oi75fQlSvGFzzXxmK0Q4sVq707GS6GX
xaHqgTVTm/2uD9E1kv58fsxPt8hvU8wljjFI6r4oy6cJyMaGpWebaiSpLGJTSOV+WCIpB1yWFyv/
Epm2mWTEqsyqrUnoivH9HdbJcEfM1oFCYtG4OC6Ll8SK2PTKdGsTbl3FBLliAl2DTHYR8MNiqJHW
LWTuKyEAllFSYYjujYpBOtYMMmI9YbFFpsYcdQY4xSTnMrWgSatuAp6XsSW6N5FS/VwkJC9A3Nm0
SU8n5yQ9I0s2bfMYia+OE3df1XN0NVL9EVEc7zzFoTvdgVsYpsbrotqrKida2z/0IgvPkF5AV6t5
Q2Gcku4Ae23GRL3TkDY4ZDhINWhc0L3iJ6l9Md/pnZWhcN82QnplK1FNwLDpw1WU8hImAbDjFm6J
UB8ol0W5SEic9FyMMnEw+4KXmPqoIJmeKyv+YRv5DZhmTPNaDUWy6TB2KP27mbcoHKbxqujZG8dr
YoWhvZ1dsyS1k+x0FeXMxuwy9Yuv6AYoK0yac5F6U2KTeklvRGBTSowXhz6M+3wpfqpZ6QAlcAQ+
0ZlRSRrSya0kn5pQXiwi5nM03WVUS8yD8oCg+taxXXJJcFd1rxzrqTmrRvA4FclxHnPerUB/CnNI
MVETPFCGe6QBgjiIHpo+vhEGIY57LnTzNbDHR5RswsZ4OAlBcKSm/PSDuPnd2CTnEB+tHsi8kD3c
jpp5Z8z8LnkQX5tW2wMpXsMEPYQkdXoxHivF+gjn7kleV8LCYgxs3UbxsjOafFWpRCvSdn6xeoiY
SajkqzRmtsEyR4SyVhijy1lVQKHreoibl6bND4Y7nFJD30fq8tQXzFUHGhMJV497cGDxmgeWCbOS
3TGG/aD3l5lNmjWrRThb2RC4YbDibHAdy2w6Y39skbvFRHtNqjyhdrNaTy1ZDp05s1xxWaVoM0nN
4VL23EB0ItJ+P8zXUCXFooHaUXkJWJOuxixOSe9+Etfn2bLFoy7Mk2HWQNt7xobDXNF6JZe4JloI
bKr3ulv4mQ3kXq/afNUy88f4nu1yJEMt65CA806AGp+e+yW811Tzw84ZDYW6c4JtjH0sBFjH/f2O
NgE8cGGqUZhpf+i0sW60IiPuKarNbGBtymPdlFwhP2U01XRLcJ/US7KOG+2hiIeCiKwdf1aRchY0
P25g8pIpjZ9H8O0NGHf8dj8XjsCbDlWcma/KDF5C3+NWAuC5N+fP+TcWftExr3dioPtFs46W0zy4
MpzRyJgGndlvVIe4qNGDAcF5eQmoPFnZpDtEp9TrpW8uZpydI/IfBjmQiTyIJoMhRtEcMkADaWhi
O+usKzmQU+9SiitkrCTBbeWQM1FpMcElQPTEGtHwUUQfDFIpNO8c6F59SmRcJSUCzU+zvLgyyVLP
T7k1XqsxufA88CKQecnJviwWOlwn3QODWmwZjPRcYLr7gsSMJtoDHc5HU50eC52uFpI1goRN5ZoF
Tiw+1TJ8Y2eCa5kM5NBQpDOdJaRTqAR5WGM9Sj92BTmeRgZ6bJI9YSJI58qwDzEDhNfvAFCV7BcZ
CVJS+la/Q0IyLoTDRN8zF45xsxEmKmWsKFXxOQNd1gDWIhPI8NH3YeQ/5V/W/znye+jB3eX/Kogv
/9wvhzKsTZx3hK59J1F/UffU3wQnahQ8Xd7Yfk23OL+Z5GFg9ehCJmLkUeoPR5T9m+B/sPMzJ8QX
9fdaHMVfrLocaFSuT5SSaTBFTePbSvzrTUobLDzcWG5veahJBWIQHNgZJ4zvCzqEP1iCdSHITiZl
rr7FVVhlkh9X3W1EjVSRJR4Mi2uhcRMwtAMi23vaszW02TotKIhdNKqkzN0SMaNOlXJeR3b42s7Z
dQiCdAPN/R1dlJ0gmutVkGEjXzgvHPOZmr6MJlhOfl3BhCRCrC6dG0p8L0iE2cpF31stNuF/N/0Q
iuUbgXaJpvKWxZ0OSTd5GbVBYBQWt44FAkXvU/JoYGNue1H+4GQEgXyK8CpFtlhTE63trRmbV2fv
jSB/MObpazaXEzvZRxa0D+M8MIPKwm0p+qPAb0Vfmbi1SvuQYe1YuZH1aChU0pfd2wimuR1IPTSa
wpbvOhf0Hdh+sIPG9Ixg4VeKFuDLxFib2KRitUZ5dnFLrcoFd4+V3EQNJPelmo8GPUf7Qp6B83TR
/IgcqE8j4Rt96xdr6G/M3inPVX0Fe+DnabyZbfoxLNfvjekO6OlqSiAzG432bmgUOmbKC6aJZw75
PsWW7JjDaO0ICnzEc/9YKarh5Qt4GcJ/53ngpavT/qpOAdCCVORPtYlVpnW6VccYdmXU9nBGn/WD
MeCeZzGmmPvhPsLMxL/T2iLazOvq4qnnxwhqHDBprJCqHTmCxuyPjaNRqjQf64H3gXZ64giqkxF6
dNQV2Jm72CmP4xj8MGvGXrEQD2Yp7hTgWWulEzduThqpt+yIKDTA2biJ7hQr2FtJZ95wUkNIq5MH
7DyfjhrTIJxfcZH/QNV5Cl2sHagmzHz4pXZVoI3QVIi0BOUUrm1d9w1TWpbtAGU0Tv0q7r3FlWyl
dKuawy7VMXkV/TRv9Lb/wp5SeaYAA0PS5gUe9MbVKgmX4NWWhQNrTK90aUxauzJaRDiUYTKYmGpY
v93qhMH7sV7Su6Dq6SFVk4YoLyHNeHIcL+8L3EpNeVTLKbvRcsxzTvsSC/vGMq27Yijh58Zuvla0
ZdmS6IYcETQ0n80FT6ahv1VFfe8MvPHWGMJjXM5qH/wIBoXa+MG6cysHV2CwG9k2wVUGeztlwm/x
0K9ID/jT4mTrRsMzhOTOsW8kMpXUQJWUZX4PUVDXVgsuMuMVXdF2cOgG3FKp2MCV4awju7cYOm7h
/uQbZFeFPplIUmPC5Z3m5vduEA/hNDykGZ0rk3MBG5ZiFMQePOrgf4xYeZodhf6GDID70vnRPIhD
HNfEtmS4CXWJonkFTm2QzwezxdpTVeA3qVECxG1+6VN7ylTlNAF32EBeKvDzLe8cKnZz1VnrUuRE
eW26pucRX9PcUM+g1+N9bo8ll8RO2wZ6SISLSqb1OHCQGnueQP7/Tz0j1zTDo8BsgGXNyZS7ule/
2pxHwhR5jN/Zfqya+txmkARRlL6qSr21ldFvE2b6nPRNCZXQfaElPmfS5ibQ1O1UmLzbvOLHuuCX
TgueJq6oryblN36psAaHseNCampMYrbhLjDFBCtxfq9FXG5dlkYzjf0a9BB1YOaJTofbNsMrZ9nY
sOcYHEqSj7gi8NK36jZpzIdqYa0stXstZGRdLgQj1NJ+D8PqQIUD5YlmzPFDFfAh+0dFLNo6SOIa
rACj9sbioU7b4BVM/mvT1XdRazJvz5QdPn4qUlngVmbX31fYDbyGutLeUErPMbBOjbi2Oao2HyAy
WSpgZUXuLQvdNqyjfKWb7QN4qKdU756b2oEmkPbPhNnVnaaPmqeqenQkajbQSRNZ6zkisFWGNZwy
zdg3bXJfCAM/J7S4INVex3RSSRUnvpUhKTtuKnMGYEwb/WkQ17E9LMHLGB/NyLgWWEccSzyRHn+M
jZy3pui2oijPelWCgsm0Fsi0+NJY6NHl3csQc2OvTSXYKRY8O1ss8SazYyo0TNMr3fGmrbK7gYmI
PWUsv/G8gc1+D+DsGJUzFd1h/2xLI4Nad4e6O8vWxs7qZQFheDFng/7E0o23et3g42jiZzix2yxr
kptCYfmnfOnkzrbCLLhPfaObIDvgVVm1Fbc+K6CvvAoPluso6/YbQKJ9w0jm3tBxvZZfuGOi01jQ
X4y2nlv2cyI5JjQmcbnu6oVz6zfnpOV9tmfAyaGDLyUOZCamPQTd4t5qRG9u1UXBYtZ25n4AEQhL
HqBKb87zdpG+iagCfM3mkfhkVP0cc4VeWXtWo4PAdJFC8MBareD7YUTxFNsVK4R0aZitsouwbZhm
KyPz6pcx41mb4ULM0BC4u+5mVfFyrB96qvKr8zO2hlZ66ZR9TkwcVhikt8QudRLdeHmLULxEUz7Q
vtIlm7GOKNVty5WuL74YFPJxtjiGsqzyA5aoZgZ3KXYVBWcSkDSSsNUUAPDPmetk6iMvP7s4dpdq
Sg4QOG2/gmsHrneb0AnvYVkvfLK55B4bhmox3CYGMuNLgRERw9+9Zc6eyKzH3K2J/aHBE8zcj7hw
mji70FnKjQ7yILSKB7s0P1lcL507FozreARiPD2EjXwWOG07mg1bttaeIbJTybVou0J0umw+u7Vd
sO0psgXOkXTeNBNkENZ9iQXGVoQdfZNLo1ElMHjEpf6+0GpFP+m4tWPqMTDLnznkvjT4lSY7s9dl
rmxQ1tfW6LyytfjDqN+BeTjyyd3RQ0t2Hw9UBXVjncQ0QGpstbik4qADfFE+W5X2MkoblYWfqtUn
poUYrMbYVfB+oY25uK/IDhdrTcn2C5BYszlNYehXo556PYatSDq3hCIe+2o4LUzFaIH7yPB31Uz9
eNvnm2Fy+t0sTWDFJE655jBry1kI8YmpViy8GudYWuo3I06yXlrKQmkuE4t4TsY8xxilLl4oLWjK
2OjeIG1p4Bxxq0PTWll5gZbY2ubGWZpdKw1tjZp82Ohfawevm121mN4aMKyh27Y3eY3HDU3hmCXS
tYpbLs0CZet+l8nq38WyFEsu5gP314OI6Z0VUbl3OW1Vq+y7lnb5rqj9z3Xsd7cFgvG/F8l9vL3F
v1LI+VP/vIxBMaOKxsEeARpVNRHPf7VfgtvVUblVvsL6hYpmE7YEQ8DIXropvsXzPy5jFs1Y+C5t
y9bxL1Cp9XesFtz7/qqQuzo0EIhFtmYxaPnuaf5lrJXmmPenLrDPwJcPYVcPxakb9Vms6U+rqtIr
4n7ZOmPbrvMoD6en0o3Ak5UuKEVUuuh1Mtr7PKpnL2oLzlVdv6WM3GMsyrqkFjpZrYxbkZt8GLjY
0E0srg1KW3vFYp25xXaMrZXXcszviKM8j32ppdeOPMg9UYGdSyq5sANcyQgrIe2O55Tax3FVD5So
5Er4yhErugTfGecom+2LVTjMvk0A3cZKYNYsPfYp0tHCVgw/QDYaN+13frr+zlL36KIDgJzxOdVl
1rpNS0L9STKjiDanMTEPY2/dWSFramAXT+qSPXxH2InHf+rS/Smi/iPvqAFrWPdNzfiIimRZNYp5
Fr2OoXN66qPYWhvo8wqHViVHkQml6dFkiQXHCZSnLfjoa2b0jMfOYWyfYkOz7mmtuKVpALa5Ev/Q
Xfsh780v1UziTQvCdGU53dU2UqRITIccq0f84mGVvs1AIlfpGO/UhZF5LZ0PeeY81Jmm+yXJcoxr
HfUJib6LALwVnPK8fIz3RsRB2MojG9M/CdEW/gFx2TpDx5kPRqVfA7qE19BusISa+q5MmfuTSecu
M0/6fh40PBu9+kMtCUf2LbeEwAowFLbcFNz3MCqPFIofWwPseuyQLDAW994OMNi7UetPgfLDcgFK
qNMeitw5bMhgkC3yqoZDQV7Itvug+tmVDMoFQf4VBROfI5ADGKvFC490Bx97sHdCTmJ4vK44GuWl
sTx3VqIg4xP1c3G1EC5dhZHG7UdBOEDgBPPZWGvSQq3MH1ExXb70ic6lKOwOHe9g1/Y+BWTxdrJY
sIVal5uloONnmG+n2nrW2u7sdvFD0lEzHqvtUx5Gd5EZgUdV+60WCoUyagLFQ9TczXbwQDjiutQ9
HxGNckLK0bjFx/FM92dw6YNlN7OM741J+WxqJfIIE6bb2UIzXDQ3wwMNYDS02i2dr6anmfNyKCv7
NpnL2S8drpdVXxhrWKcdYZ7xBk/uD4rcDjF5fUj/8UkkFXwO1T5SfaZtVTfLQATWMO7oPza15J2j
xOjPbnfrNubLoETqmo/6QDlnDqC3hw4698sqrcq7fqmoJbdh3oNwtu1pWZlFSdwkHR71cSl2isnT
GUiFvc3ir2zWF7RK+8UarXsdS8l+KFNMQI2+Z2pneIbj3EQD4SoBPWet5qbpj3VyG4cChmJ6l2fc
+SOe7THiIjsmKRha96KHRe2LjPHOWEESxYwyr+pCPIyavBg36s9AN98AEnyqhrUng43sGnKPCxT9
i2PfU5tAzMjz/CkfO32ju/39PHMLi0X+Ws7mEb7vbAEpnblqHGxzElcjcSCTxq06cxGoP4yRpjzd
gron+V69VZ+EMnWbJUVpGJaPxtBfa8c1dq4KWr6CabIAgPCcLsKc2xCOwqVfoN/MnyCC2r1qd9Ss
dKQnKjXj0FnOq95OE9Za443z032Xd9TkRQ5e4T4YvabH0ZNUVQExSj0P+IU3mGy+hmV2PU79pyTR
YQ8HJQTntOAWp5gIV30N2V9lgEYG6hOnU77WWpCLajBa53iySLG39YQDDdKCodd3Y4GePDu4xDWC
uWlcTLxPMVAsY/ZiK5m9OYmqE/fX/ZwHb3kx0SihmPlGt0lcTQZPa9Ukn8IuGIoFybKxisAPTWPe
iaKp92Vl+iknSg8ZLPMdhzkc6+Gy5Wb01jiWXzQK+ZVgWzJBuRL+FvC5YhcQ08gdq4OgMikFegaA
uyvl1pVPInpfh8ZNQpO43+WJs2VsCbiNPOY6GOb5AAP7RwqvzI+qzjjoHIHWVoXhmKKyYhcVxfK4
jDnvzTgrviWlJoVZyyrUMbta3UB5a4BkoTnUCFjDMczcQ+AuRyUGxEJBbeMHKS71PPAITN47ii1u
lpbBW9RzEGYcc6n66AG288yGqGU+TDTS7JHSrBOj+xR1TsSO0szt5OAnnLUQIrmOFEd++NLF2B8D
qoXSMh62VbUcqQO5gfTmUWlwGRog+0ZS0/nFyBj9qDm7VvLpEInI2oD5MAQgbP+KBSbPAqvlzJtA
hLiAFuQrVR2ftD59L1OFFHR8n4J1W6uYXjYQEsSqMauvjLaFMFdNvzNMukJik7+S9J03ZuprFTMM
G/r4HLg9dn1NHbyxbri3BemxcOgeSaYkfKqjDDpb8CqYba10Prp2lv8krvhqGQTMo+5cfZvTuvwz
sHR3o7k4xaA2P6G5Yr2MsZ7pinJd1Er1lP9m7zy2HDfSbvtE0IIJABFTgj7J9H6ClZUG3ns8/d0o
qdQl6Vf30h1rqlKSzCQZ8Zlz9kmjs1HiWy+K5CIFn+YJ7lRb6znADONzlA3uJP8kCVje6dF0xAkI
Kz2h/rfzJ/g7l2NO/+FMWYbzXXi8oceqMS7sFNxzKb8GwNErh4V2Xmk0mvEnWsxt0xXtrnGBpZT8
61Boj3qsn+bgIoNJXXcu6vWENKn4W9hw+PYaiU21e8BwunxqZEBHXB/nZmCRlvD2ZCxOYzbx48zn
GRc5W0pTfFqMUVeoUu+iOOB/5gDvM/qaOmUgDtgTX4iMdlRur1Rgh2gkVJRKZ2W1znG2i8zrCBt2
KkaJangyLB68HAtwKvFFgohgZ2Xtu8DnEjAHIS0LLiEz3KWIMSwuPKDkOztkaDJJwq+S6KEewEuV
DeBRrayuy0idyBZF1EpH2GmM49yY+OBZZDtca6wJzXjjGANDEatEfA4edovVllX8jN4SE85d1lf8
ajInLmaZQco02mg5/IVc1AfXCo/DFH+F8BC2wSCvQKXvinnXKNiKpA9O+doYT1JL7sOU1D5NiMxD
lbwDXs8QjXkWOaXfLLkA34Nv0olOwuxI+/D1kDeregP5xyTEHGKbi7ivL/j63AcTKgfWaY9G6WI+
KFayqTdyD5t/b+Lv7dtkvYQg3kByX6Z1eeQg/xe2oT2FfVHoHqTFpj4iwRxAL0RDL/stAAltupl4
d3J6QG0tfMR8weyCiWcCdCygHrLR0Pi2afVuVgH71ULbaoAr1nnCjC4S0HqypFv7ffGMg45UKtlX
rGMDg9jI+MGq8zva9nGLuO6riusnZoA2djuD3zRqt9DLDqEr3sp8vB4jRdaIu1AvojbzqLsaL0lE
RU/eGyuNPTXXCcuOROdiI6HP4f1b3jtq804RFqPCU1WD7k1LsR5b97JvGah27olGXYFhiN8M8iwb
JU7GTARCWZTfuFtwdafLwkU+NFEkji2TyRlW/W6OGeVNvdyLvrvGcUW6bUgqC63EirpmWDt+/lEP
2d4ivtXD3DxviSw/iSq9NROSCVt6dzsrhj3n7kkNqFYnm8sOz/C+6/lGxyZPCLrSS0TarBroDHWD
lRtv9a40qXaVkbwmVcR25yopE06AaTWM1sGucRIr2V9qTV6hGGmvMjv+wJ+Ogs3AYjZFl0WgX9pg
T9K8vxTmlYNyQpsJO6+14NjrxVMyBIc2jF5at30oVYFqk+RLWe9Gx71DpOpR915OlfkawapXjcbJ
mAWHGebaIe7SV17gQ7hsWl1qwU3YltEFp8KryIr+KZuZMBdVfDESMLZmHlZ4Uzafh37C4uMYz2VP
lnac3AxEVSalxLYGfj+b1EtqF6fICp+yAUnKvw3994beQB769w39vsswmX+0fxW9LT/3o6U3rV+W
lh2iBNK3ZVX6U0svSA2zoSSRO/tbFMtvjkosEgsXmEAxC+2o/Hm/CoxCZ+0qsCL8GAT8A0flnyVv
gs0Dm1ppQF2CT/xnOW7bYRR2C3u47vRjQGD7BCFn99Mf5f+Q3P5qwfijPlNnoi8UZF5z4amzff7D
ChddQxwnTXltDRgVwODZDdLk0DJz6zrUmd4tQvoxuZmLyJGXYRi6z3XgmsmN1G02siTCmEfTKb1m
LA5VODLNSzeOFZFMYFABzxZZEOm1b2sMqLXD1Cgc0MVdqzNJnkJjM1fu7Rg1e3Kks1WYjVsYbsba
FtVRK2F8y+RbOiVvGoyCriwPeLWf0XZxf0XhVdA2G2mmBzdsqpUx1l9c5rsyjYZ1Sv7hLqpIvdAQ
STMnH/ZVz6HaufED1NfKanA258+Box90hX7cMsojRPXPtFEhQiCBKCz79EtsWTIroRjrI2QFwnlJ
tzoxlxvWMl/EIIwdkeHo38YmP1pCy+jm8vveCGDDmQ/1SFagGbVPSQZKJ5yG98YRx0nU+baKy3Me
jsNaVa61tiPf9vyivqsjlmKugPMbTNY5C5Apto11kw4kfM1996zF1nYe4AfZJlHC0my/wJfSbkRm
gSO2wGIjLtyhFihg4FmlSRXvHR14BcVy4I1xx06rNNmy9ZJVSzk/GVnBuIBJQdFpt/bACikzgStm
ikmrTF60ir2ROZQHxST8Mm0Hw0MCdwRBCazZqAA6yeAUtO8We37VUQxlAxEWY0VJkuZP/gz/w68k
HVZgHGtJBEbbu7vZtd/LCOHTMNUXnSveZQM7ScbRl8y4LwIh53XVqnv0jV8iGjy9ij6jiq7YaOJ9
aAI6NkbpFUF23ZvNNyOOda8WzEHw1BzSKKEF7tttJBdxpIVUXjTtsAHuoxgpd9eIeh76gIBfLW0J
zQrrZVhzF4xttS7coPNyH+mWwNPek6dJPAgNl4zvTOK8kENRA6j+KdG5oqLJ+YrZpdtGshj3EPdb
Y4Ljzg+Tc56ltRfEUelxrjyQtnuXC7uEd2xdBanrrsMiHPiwjq99nPLpGSocl3C4aMDnl8TxMXqA
LOjj/FOAadn2tf6QBCkXM17AUVsy3oOWhk37ajX5AmsDPU8Seq5lMIYbv/P33NkpTIyxJPqW3y0C
TP8rny0bMxq8RtW9HQzzCswBn3KVJg8JqdsHex7ja8ca7qvKJNGy/CR34xAlZYqdtvww2oo5DF0Z
8ijax2RomY1H8ZMQLaADP6VEfszVZtxNLPFP2ZKYoGm3dRerJbc0raApZMTv9fh4NXdkKK7KwmtS
217Rw3iBVWK/sM7sYzPPpWfUwFmUfDcX1+hlU7jPobQ/I32sQH1R+wj2WVlawqpB5SDFmzZ2F0ML
cc3uXoJOYGycrds6NzYYWW8LtnyDod2CnVg7WvBoJs5LI21GmfqFGticufJ6Yrk1N+0WBYMH1PeD
6iSlCIvXSdMmG2gKXoLB1G1qeMi0tXXZX7rEt9UVUhJskmvGgsBYFXVpzGLA17Srqa0fMxYqG99s
PhtQzWY1PmnNp93xSewdF6kAGBfPJy8Orak/EJwXdxMUVr2f3Ec36MddVdWmFwfsxWxZtuVlYlnP
WSHwqs7wjvs80Fmic26tkkKUQDPRlezaqag9yVIREW/2mFTNtm6H52FIH5tKe0HEat3onT1fc+FV
2zqt3irTOIS19TH68mpZ4ymArQvIAwk0Te4awqkkrCWNttmcqXuRyekcZOFdFATfGK9p3pB06UVN
ZbQpsxZnSM5gRbThS27yLg7hfRQVKHws7dj1zTPk15m+mlWpv7h9Sl4fgBDuHk8lnAHEYjjrpivn
K439yr0TM6OYSFPfBDWcaL7lzZOvGjhfrYuoIu/kukpbJBR9v++NdmD3DjbJyooJ4qgekh1LpGXQ
MqKi57T3Q6qMPcm41xjebxvBJtYxdnEviLvVfCDlDE1nx7hH3/tcG+NdYNfOASfeM4tZ7ObB7F/+
92uXVcGfTBE6BiiMtI4Emwif4Y+XroNYyZRm1V0XEvancRXLe4dXzeIc4MHTf3+uP1YRlCnL0sEx
UF9Z8LMMF6/nzxd8w5awNYdmuJY+dM7HCh6g9j9MHv/rKZZ//2nzQGJpmg5dOlyXfDGh5a/C/lWU
d/8fvwe6Nd2ltjLMRdX285M0YZKMcT4M11Z9XxWnUYPh/T8MSH99W/hT/fQUi0Hpp9+jZWQRGGIc
roW8y+D5ZeSoDle5+xZP/+OZFrfCH6uuPz7T8kp+eiZ0Hnbm4Ji/rljuGzmzWfPYZXQKmz6Dovtb
BsjfGmT/6qxa2NMwKizdsgjB/ZN5og3ica5bY4AZ82wgU3IR0oQXU/b8/S36V8spMC7/fa/xG3g1
favf/tpuLD/6e7th/GLqkoUfezpM2w5f+983iCb/ZApLWt/Ti5da/wfAxSXDUTgWe0XhovdcQiF/
bBAhryrLMsG40sMYuHb+yQYRVOsfPpWLx4b8ZIU32rIxaok/NxyuERiIRmxCbXBlrsyW68cYlhiy
MUdpM8IiYD+/BSx0wGBLLUnM3kum3COp7lup2l2RFpduVx1iWyPt3N/ogiEM6+3ilEYuKsaofpx0
8SwVs8Dv8RS4VDf9lNw7tX8V6yiWcR/geChi92ZE0RDgnI0J6U7h/qMGsgcdLY1+OYdRv1az6Anu
JlgXIzbrML1FqGiozRyjhzQC1jGSVCCfXRFQ9mKPTSBba764HKeSVCUidYk2b+x1OJKt1Pf6A7fI
2o2nzWC2ZBvgXvUcAEeYgex3h9+TyRuPWyn0/F2PgYZkuWiF+fRdRST/TT6Uuw6t4BJocGC55B+g
bgD2In2jIMx9x4AwvbBtbTj5UYiwu8/IAK7jB3KoGIylkFDrIL4qAK0xl0dwPTOwdbr7OqocILfV
g+MGVyV82BW25ZMYowpGh78kwhHummucuoPQKw81B3KOqjuDCCQnmfiKLZiJHbrWo52bj1nc36rY
53UzU1vNg7F3rQqRTBJ99IZ1DvL5EuUdKjIXLl8X189pq3l+h84ticpTF0rUsTrA0yChs5rH1iNZ
I0GFEls0GTHSK9PBK+rcJD45vBZXDgkrwaaicNgOWvFemchPSE28NC2q8koDaZ6dIOheGWl3YVkI
Lci2QdfJZ8bvmusqQrgOOhdjMrKljVAFG1bmsTF76co6uzZ29Ba+lge8tdjDrlknpbarY+06GYvm
PBPjwbsXgTaUzq3pmGdVppRtUz96IhOuZyZkaFnI+zCw00rGCd6fdPA3TdDcj2oMt5Th50D4r1PV
M0zS5C5oLGdtt/qjqKrXGCHr2kDCPFWtA4Y9uMEefTLGJfZyJJNRfdTOUK4z2K8QYp1DUEG6mx37
1HbNVVRQkoHXdtP5cxrTZO+yFVRJ+ZjA6CYhpL9gkyLOeZeUx7hVL0Wi37Z2DcuVmJsKoOIcbOHC
rssGQEqrbWvdvCjS8DIqiuMYo/QpkAhB/1gDdO12qd8NB8e3v2ZHA5gS40neRZ3v9qz8+vnOdOZz
UNXNDojNsA0g6ZM44vC8gna63g3u3KAPDvfDbF3X9kujGajAOvWQK2OVxsFFvaDQs9YmSBDIH/jz
bjZJuyR3cLK7G6LaaZUB+psYpLQIMYFf+ddW056kjSE2ke1F0UW3sKU9ZFt3c4ll3ak7axWOYA7M
Gl6kgOi2U4GBi5ogga2VOLs0iIJ9RXIQ0qxQborvsIGOT05eYqzKGdGsKFqv5ag9uyL/Kmr9gxiZ
xINN8zjnwYneDfd3xZzUXtKb9QW3y0T3m1wAvAoSL1pajgldv84WSG/HcuoKTOOntQB8dUi+XbP4
Xpzx1logvxa0X6PItpUgrRsKsIQGrJbWlumI8qQAFTx2wVO+wIMTKMKlnIhoLNZ6WV8rKMM6sjdk
UUxM4Q/HLiBikm72JMKpowujWBKFyjP3ngUHyFgwxuy4m/W8oI0Rl42bSjPP5MEU1y78YxsO8rgA
kfMFjeyihjcXWDJVLkAZ+Mn8ruj2kkZ4KqrewgWy3C64ZQfuMja8r0C9R9CYG6jMyYJnNvkKsqpl
kAK5GUzlVl9Qzv4CdSaQsl71C+gZi8gurEA/RwsEeoIGHfFwcsFD23ZwTOFFhzEDE2dBSIsFJs0b
ClbaHG/HPF0bGYt7FvsIP2W+V99h1LKGxMTI29fWibQuQoXri3X/q97MJGJn4LEXrnUgxq0WVncm
wGtnIV8HodNtxoWGTUrNewINw9MQXtU2eoi+qs7BwtA2zfKuA6otFrq2ZlW7juGLnZSXw8LfLgFx
B+14q0/FBufXtLVBdRcguzWYjffhPHXbAZx3ojo4ea6LSBysz5wy7Pq3nvp1dvtf66lDVn7W0Vv6
12LK+KmYMhjQLpgCPGtMvKDL/KeYMpxfyNA2XJqr72A7fupHMcXA17JQMBOs9qME+1FMmb84uJWl
KzDTKJa1/0iOhbzrT8UUhndhmxRmdHnLGPdPfZcbVnU+atV0Hi0kQlsDurV7Ll34MV/6POc2oyty
tpiWWMg55n3hkA+RM36M6QgdgbjfZMkiscTta6N3SaZwzPdAZyNUKP8NWM0dl292PSUAS6rZwX9g
cy4zmG7OheN8IadlgpGBAzdyQLPszq2N2wApa53BhYNl2KeZRcdBy9OW8SkiA/JpHSRXcRzUl6Vu
oHdhd4jwJbnAZpavm3KYtrXNdLCtEiy3gGA8uDMc1sjOLkU/HYl1OMmi9S+yCLdPoilWMoqalVml
AyqXKLvtqNxwjf6YdQgzM89I3CXLkjO9kh1cEqG9pHTDpTPmRzfs7g0n1BkesWBjkVcSZDFpl3Xs
vA85g5OqcI1dYcdfcxy/sq3D4ih6I6NEdf1TKeLpgSW1j6ok5CtvFYcujD/bYDZfGCMi4EFStu2d
tFq7TUpdMi1xwIHKyfXWfGPjDLp2FOWon+wIYXcEk2YV1J1zqvm6S3Bpd0yWufCme62Ey1eIXOx0
Wdy4DmoDODqwAnXhMO5jKj4nLE6FPoA4nhLtZITdwmivQ/ulLwOUUrqVXLQ+guMdGFsU6iSr1U59
FfLe9RCWo/NkMANdaYGxFAcxj8SVorT2qpSqQi5mckUcynYySYfu0ugACHk+1n2uriI8oRXmIMlG
k8PQ8q8Uy02Wi2SL94ZKTiY6LyPI5juyj41x/e/p9evpxZro77vBQz79H0LSZbX0ow007F8cwcIJ
jIH8k5DUIF1SYUrAvfcbsfz3k4s20KFYch0Xc5+Sy3n34+RaMqvY3/yWYrnQP//B1glg6J9OLuyE
ylpeA0RFC2zHn4YTVpiWRtC77WWWOOG2KNJoPRYZs/mbyaQ2Zb6rQn92NiLs9RCLaJ8MG9toTQPL
qDnl5DZhH4G/L6NqwrqGPNZeyW6glVoZo1OByLXT0NrBzEKySmhsGjUIhPy4N+nQVJG/zjUQ/2u3
61Sdr13AwCSv2fbQjEi/q7h5c2eQkjNWYDiU7PTHmigBFhthvYubUp1JvQkPATR19OaDeKgKeiGJ
37bqCjjpIolZ1VRDf0G+37RF/ZlfurhGbg0nGb7puW2XEBHC4Fsv6nGbNjQpFGMFq4GC2kyzxRZ3
fIhKEW/VSg7WdGO4JkGRXTGck5xIJwMzMEVW+VUMaFhRMJj1G9zexktbBA5eiEzmEOI4uzeHCkFE
mNvvck7Vrg/TgY0KxDGakl2qCetWzjo5dosUNCWKWyBUgsxrty36QkefLmvAEdsExhqhtgZ7+aaB
mMA6y/rG29TuK+TqqPRLEGNKhearNVOch/Mc4xYyO/Nbwsz9oqua4DAlcfNs2Y0FAdBErlQyCJ5l
1l11ZCvxJ80PFTbVO6OJ9NSLQcudieZSVJNFeDktmU/BZEeX9pIFpQBlb+JZycu5YvKaVTkT3imr
vdAKpnd0EOkJB3Xz2BGKBloxzmFzRObZsowUbWbYJKgXMQYaSwgWCxaNoC27ubYiYuSRJhQXqJvo
jsjcQiQ0g5zS5Layp/FrEIS1yzILjmMRCV5b7GrnyHf0YxY1oNRoEahgW47wapL5rgyQTwqk+avR
ril+Z1P5x7TWnEfWRE+gOcyTqZFBw8v3t1oCKIxsDZryutavpjkEmyWH+BBECGPo2mPWF+V0Gy75
bX0zVJsp6sZN0M/+toEfEvx7sv5KslmQT39/st5/hm/Z21+rwuWnfpytJvxCoIWE5S6s4+9y+99H
bBawGiLNWerovxWMPzb6+i+UalJKoBG/CgH+c7YqDmTYTaBnTJcqE5/1PzhbbeOPI2ZGbMJxbGN5
LgW+13G5Fn4e/IJNsPSUl3HVqzBp1kRHABxGabcQ3jtQ70YLEBlF3ESD1R3GhQdfLGR4A0R8ayeO
V/JN2QbxdC+1grYlhrmRGxxu2BM3MbD5wFyw8/N3BL3jsNtdW4DpG4wkt2A/h51TOz6JJxOjmpGl
WGVaXun29dk2RYcZygy3o2t8a/3mSycubl8O+WX9HY7vFCgVI4D5E+B8dyHoVwtLP0ig6uspptNa
OtSFC3M/wBOzmhQrmIxXJcdkGwedtjcWVn+8UPsl+H4jN0fQND3zqDaP+73TAOJjfOCvWisJcCWR
AuCbcQGkjWSAdskIcA3ui5KnnyMS4GoXSP2kGNLN3Jer2pIV26bhnLoME4vwiFhw39bgDtvchJps
VRdOwMlStD2AEz++LWzUVU5BwaeT/eAgJ4WeihsNTCDCQGRl8Aa9OnSYY0ptsS3dqbrel6EuDzbK
zXpIgAI66olB0HtRF5cVqZJYt8MjXca13fr3QY+4YBjqdU+9VZfioHfqbDdDszYbDThhjkyBmdRz
PKRHJ49exrhtvElpX2Mg2WC3hAym/audq88yd6sD22p833krIdTxZyGzgd4Bst0piijp2adFrzBr
r+UUPzLLYveaFcAZc3vcaJJFWgbFkCjW5olowRfpjF6BQwnsBR7EKYgYcKbVY4FvfJvpkBuJhgvW
jT7eF0suQmrCDIl6YoHz2egXowfcWtFdlw2FuO4O8aaeu3e4S889fmm0C+RLWsZH6SeodfHKH3NA
P74mLaZWbr91RsuHx00udMLHddcRLbcCyURLHxkVaj9hHbROqV0giRe2ZMEXoZBfU+ysRdJ8s0oU
jqxNMVbGkIA7p/ka8pLtoT6xQZb0JWWepNtodrlPfPBQtVJeFfEd8UfQxH0BHsU3Ks9KEfVjz98F
vaPWoRyvrN7fm3YODCC/chJ50LRo25kHZnP+cFY8ZiPau7IasLpgUUky58lVYJNypLiDhZ4adg+w
JAaWyBaavH12U/oX1m9YEeJSbRrsdnRvrVq1MUlSSXk2zW7X4CBtgo7Y4eDUZmWGcbXxInO6NtN+
Lzp8Eu6g+LSP41WWmvNR6ulL2HDbOiVaWH1wD3HlnkyVXUZtSdlgMTVtEJwVScKF6jBLwizBIjcw
okMXRyezi7CFly8pVyz1S4Nk1vAfhGs/dXVzZWaJ2KFeUwCDDCTbobDXdU5OQhi4TKo7mhQCX1bK
AaqlTdnt4PhPs8/rq0r4eTMhDXPLzwVZOrJ/TdfAGg/+XH9WuSU25rxwnDG56vjbEcUQtqD4s3p9
+900c9MOS5xK1E1LyINYJ33t7JNK/wIxeyGi6BQtcpUxZSCX5tVaz6KX2bHufSoBr0Yq71UtUIQk
Nm5tqV4M4OerwMpvTA2BhTHLL0d1u3bWFpMBu1BiUW5qpqN+bt73YXPWe43+uZTHqKYV9N3sJoWV
CUBKO4ZD+hDZLR1qOx6dCVxSkE5gG01cJ6w+PScfEupDtA2zjpggx+hgwwXAq5p+sTy+r8qAYaLB
+Av0NnKHMP6oS/sqKEhQ1uUwrwUAAS+Hr3AxBJhkW4kcfkCEP1fU3Iz8N1rfUsSq4G5EWtWZ2p4a
6UKprKfyq4+I1aC3GDDpqyqbdtZADmTqFKSpZ9NzVi852Ppb1Yw4YMxwiYjscTVlD6bdn2ZKuFVu
RhvRiy3Z3ARKyIuorPdx45MixIeIxHcHRYDQd0Ai3mejPNsBZ/aorI0DmLoy6s82js7tWL3NY7Bx
I76dzdR5wjJeCgRAfoLgaGSwTr7X3m05TYN2K3o+BMBEOblLpCWpXNtJnsJpde/LLjrPwv5MWg7K
yHIKApdJatVBDODPOhsEda3GRoEOmmFpieGRFFFYHynSD+RPrP5NEgJUfVPbfb9y3LnY6VPwxt1Z
b4ooJAYmZKpH3wPdg+IRuQnj1Lqpn6PEuENYkC7YtQfDbV/iJCRhjXMBEz8fjdQtiZ4fcVOb8pvl
y3FXq5p09uIbPl8U07L4aIgdw1eLljUn7/IyT5Au+6iwufPOAxiy1bBY7RR4hJbwWKvUio3Kug/U
OGiq3OrDCnO8Yqph5OkzlO191PJOhwBhCqG6qX6NWEkA9e+YEbScYKC6L0NX51tWwiDWYO4XXbCf
cPQw6/lmoUhaoeu6m4o53EVa/Mq45d0eXI9QgWwHQ2VHHcF74Pd3BuZbFimVe5w1JPEt4Tsc4oD8
KY1Yq82T52hGc8XSjVI/+0r0pPBkRlwh7q8VSIeTbpEEo9ryCwADQUhCvSC1NzZalTE4yZ23JETv
Uwbas151/k0t8zOneaP8s+jDXYhEW/NSNkwHvU1UdVmkaRFiYIj0gBQjhCjzRjdUFZ7+nVB8n1AI
1sd/X0ffLVFs9V/r6OWnfqqjhSEMk/YfESxz1v9MVymx0a7g6BSYMpjf/TRdVcSHAhUCIAkLCJUG
OoQfMwoGG5ZAFAsv8rcYkn9QRzOI+NOMwoZcbgJFMgVgSgSsf1KD9CaRPJWmpiubNe5W19J80zD7
JCDMghMMJjAebdylNhZB28/L87CgEzN7Z8sE6TzVCulUun0acy7BPsZV0uESAzCOrmqymq1ptApa
2VDssWWWN6Zg+YsvUYMuFNi7Ji6e1WywObD195ylD5yS+SaLyCfzhyJda2WPNixwr8Ch9F5e9DqF
rYu5sEB7x16ahRKxjl6emTeJhZm9z4i0ynx7ozMV3COSo8m38JQZSZdL7trcJjMtuRWG/ByS6q7o
o1OZUVfW+uJNHLWRrGmuoblV5ZXeOa/08Leq4lF8IzkLqQ9rBg/rZlm0+IM666xNKstMV2PQ3+jJ
/Jh15YOKq4sobF51zdoBquPFzgg6YRyeBO31ivHNeS7lx4xoEElvUmFw6i8mtyg8khoqj8oAAS8u
B2X670lowXOWxdaHgedqFflJ5XO8ZBMs428vCrN6M9jTtzkyL40lRWiQ5S2RKkRNsFaV1833uCFt
SR4qQ57P1wc4nGgIpQHMtix2pjtudTUAbkCLaKitUc+fs5TRxnb7i5yOHiUhpvqmYRGdd/AGRBZT
IxDDslcBi+TBFE9wMM+dZgVrML2bnrt83Uyfvuts2A21nukHb9OUf3VuUBBLZedrGjPSaPU2Zbtn
Xvv15CCjAR7Jqv0GHMmbrBp/ZXBTeGEKehzFmk2hDl3TbB/juLjp9Axcp4OhEn7ldq6AjHyfisCA
M5ybcQiegE1SGmbNRVBTOfVa1m+kw8dVNlimoiRAoDABNnFJV9kUWSMWaACkjUo9Ys+jHGU6jAXj
wh9kzVa6GdetHb3BsAm4Soo3d7RqVNpatG40XKrwCcV6aJNkUwaC/a3Z6eh64UiNIhCUbgHGXiKl
ZkZ6ezMjw4aCxutyuI/+OGtks+K7ZSkDY3u4AUj4kruWD7EokxsbG0jmmHtHytbrA3U15uAuUo1q
yQ2Ng84SY+VA5FkxBwrJ3xqvilE71AVl8jQk713cPcUZYMVpuI5FNy4D6k8OKdrQAN/XIC+hT+mb
WMKf8Zu8P6mJ+VBpfcQCaXJThpCppm9DrC4x+9xFUMY85JEvadXq3FR2sJV2DEmLaT7ID+SgRXVj
BkzdUcF/xjMmbPxSu7njmjRTDYA74SMMz6O7IgyYrcHt22hl8pQPxZNRL2jXXmC6jV9zKire/gLY
Hukcy7b1jJzsMa61C4apR6ky0MejvXHC8uiztvDQVZDrS68eK+2lpfF04+JU1PTzBLrBQQzc53aG
6pcEltr3pavWTQZQaiAQeYW8QFyZSSE1kBVz9PHvtfjrtcjM/L9ci9Fn/X8quPip36/F7wYPQNYS
8SaIBe6+38dLxi8IqBgsWYZN/NUi7vqxdGSGRKg2KVtcRgzUl1Xgj2uRG1Mt4yAgEBZ32T8D8pnL
EuAnXeEyXnJNV/BY1OOmyRT/j+MljP1ZaBaRfsWCgR19RkiSY7wWwYeuAPZSttdOfopkz/U3KDgn
Jf+9Nt0r8EVXXVVuHRncpl332jSzp0/auGuS8Dmv7V2FIgDi7blUyGoa98VwBBiSxS7tsr2yXagO
DaY0MwAIN+b3sY47q1NMi6sKYZUelS/AoNaObV7YkN4yg2Yh5C6M52eTBCQvG9tjaCMKAFPrJSC3
mg5DSJzPz+Bt90OIkFck7fXohi9xlj+w0TpxYT2zIAbnaptf2pA/EYDzmBgZROEOmbbStrM7XyPD
dkmGKndw/TqPRhqpDpAb6nf6an84tBEaFG2SS7m7cyukNE1P0GUmH6vBxPbdTu4BZTimdV9cxLBy
vXjQ9oDqMEBEcPg7bdoVYjyY0OqG0rkdSgZkbVY/pPb0lpZoK5wKUG2oP1F9UJZg9yz18Rwkpb0a
Alfb2HG+B4MGA7frLqAYHRzF2Kby7eNkfDR5/hr43cOE9m01CVa9sxxeE71RqxQNFNX5p+UiG1G2
8eDM5CMMsOaIAfS3bUPlPA29w6Ez0cxNO4nUuKRy6Br+ZkGQcvpPwEFBK8Z0I5ft2BrhxucQ2nFt
2ONFW0TTahal3h4KiZaudTEPGpiAY1aveu1uzEj4/aZprFa9pX01oP2yzXbtJPqYYR8nG9fLzIKr
KBVoOxCHeKVQ56yryK8urPc8rElL8glrxjwTssbExmgN+nqYm3fHB96sCOEEsbWEmqGyyhHFusbU
rwI7uXUXxiGUlkstJLa2NUseA7dioYXP6ShecjkOZKf0d2RZY1vUymgtKvsD4+6XCZ6R7dG06t30
MXAEHwXLovcHPZA05kWda9EmHlprI+z+ejQpDxiJ7UVYv8jEbrcWPvyN7csXUKn4N4QT02IOHyQj
Dqs8hZgwZS0G/qgBghCr4JwG2mXwktIQBsExH+MPMUJ+yvi8IGVDZX/h5PkuLsqb3qKXDpPxoVxu
MacIdindJ1oFpqm68+QzasXn66+kMTzh/b7BZuVNQmtOQ/PCyqoBeq0V+Cvc+f+xdyZLchtZl36V
33oPmWMGFr3oCMQckfO8gTHJJOYZjunp+/NUU0WpJLVpr9pUWUlkMpkB+PVzz/lOEvBbTdwnKcki
msnIkcOfjlk/tdPAHMdPPI0JA1Pmesjodlmc8mppKdotaxQSq13nLIPFtpmz9uu/58rnuWL87bly
qf6MLKR+zY9TRXc/ixipqTZ+1DH9OFXA8rMvsBnJdXYX3MT+c6pwo+L6JaAO/bZG/nGqqF2xgciF
8+T/3cP+wWWLCqU/nirYYuhwwjXH9lntTn5/qnQLYXxpS+cKOW05swoUdbeq6LG16GFjy6U0BElY
WzMcYAEeDKLqMouikxuZpEiHvS2YmmUiqA6Eg4aZdY2eo1mbUCOx42+o/eEGZi4U5eI97FOscnBS
tBo5LSJYt8pcza8PndUqChhQ2elWpjCf3VijHNa1iaLIqXw2hEzWbHD2ffk5+w8gVFSnDx7QAs6+
1m1DKR7S0ri0pZMzQacBBdF35cwGQdeJ/TG3neqqOJVNeNbH6WnuQLLRyhOu6pq8fH3IiyhELK+B
LjspUDqXZW0+ueMq8YAewH6JVsO0PBeufwNMAQwnNz1NcinlSETh8XG7QKg4tuX8zVC+40QOL/1k
m/iV4dYmwg4IsNx0+P62ozPA5pa+hH3R9GvTXaYg652cHsKStafapbPl2ghbzkEq0YJGb/imWRPz
eBKtpaowKEL92zSRtZJ2t00BiSc2eSt8K+fUo4+Xe9eTtJFO0wb6oMTTOySDQfDNvKdqeNu40oCJ
Ea6pvitWIfvsgxWzl5ms6io1qrumGdehW58ooFzHBDNWg4ePyGX1KfN3a+aa08ZD0ANtGfIsoIRH
W2N3OdJjxw0O7CBIDMACCkVIAVC29RSeEO36UihgITj19MzNBfpO9CwpyVyjSCeU+wE61JyIOQDL
qeX3a73pjwNVdKtGtM+RIiUumX2aQSf2NCGybAZ9Q99SVqZ3EVeFxIa64bLxcBR/MVQkxloxGVsY
eGsBphGruLvxGvOjUgRHXbEcbaCOtqI7xmSXSjN7xN6PlbpZVXVzrcUUg7kKFGl9IiO52aV58QS0
hGMPcIgwX4WiS0Jd2A1jfj9l9qFU/EknBF4ZfzIpFZ1yEXAq67qFsqrYlfE4PpcuXNIUrOUE3lK3
ugerw3cVAb4sAWCmnU02Cwa73b8jwpV4o+lfhDiDoQp8ZgUfEKOVvIfbkrF9gLFZzdEhUtTNBvym
dMgbetEbu/VkDW0S05JidRKJ0teWkI9DwnGqZxA9K9Ce1Bcchet/KT+Zn4r+aYABpUVom7RgQcGD
amZ1MwosvxPgULapXuARDV5BQYL7Y13gNWprE9zolOTPiYWdtwREWkTLtM9Ak0rFKNViaKWl4paa
imBK9cJrqpimNHuxxlKcU58OzoCA0C4SMFAxZWyLEYpEqPioxF8g8oBjyLv5Wgeh2pKxWVVAVWvg
qlUTxsdW8VYdffqA/3/HZZH1EGoEjBbO/m6Zv48D3i0abJGsI8NaE9zywPlBFMoV4RXA9L0TZnx0
cO6Ag6bPuaoTCH5zZWMrjvdZNH1xYtCxPWf6ZnL8i0IK6YBls34yWQPlbBkzwsB270LkFN/b0Tph
ed3PS8XtOTK4GjYwNYBx1ZN+EkSvt/iX6XOTzp01GdYh6gtWAimvEt1IL3pWHHEi7Kh3PFHnd5vS
5Vbk6SHum/swpr988qlfHdvzXIXXjlY/1F5M1nkmQykoHT/5vBd5NxJcYJO4cSs57tKsei4risPY
OPHMomfYtN9txgi4WzKMT35Ha4CsNJ7psuY3TzKgcb3J4zhhQ0FAKDyzWvuTUWyzmZXO+DG2M2Y3
G9pZCZIpBs00KUaTDqwpV9QmmBlPreI4mQCdDFT/OOrpjM9ccFlAn0RXffWBQC3AoAadD0MNHqpW
nKgRRltgK3aUrihSTeHeDLBpIljeOOVYwOQgp2zQU3yrkHjja7rerK2t6FSR4lQtuXtm6W+y9xMH
fEEJZZzedLAU3qoOX2JKOnct4KuCGAMcfiY7XVGxyBA+moqT5Shi1vir8+jfKelzStIZG/769n36
aMv/lqTVr/lpSnJ0+NaYrUHNUDn4091b/ELLpI6JQzDyfLoqfty98cZ9EhR0gecC7Zlr+Y8pycI2
5+vgHG3bQUk2/5Hh93MI+k+kj6u373jc333crDSLIUn/fkhy9ToSyMD9ldtxG87oEqG9JDbywG0s
f+cO3hcMDuO2qW2a+sgfWdqx6DwJ78tNjPQ1MeCCXcdhRX7KSrqac1mmBJ5qzZbuTU0ufbwpx/qq
5jX6AMiHegh2TC4FFUuHIzVO38zcZltYztGuFiFmvIjwajiTpsK/Z1hLvO0/rUiNPbXyYIVaQVWJ
3rt591rEtIDUbFYXAyaQyUY9QQIvMdEfi2JcqvtowbkKUiFMyZbTL7jzzUgEiQt8aBqIv7TVmO5A
dDcgc0N9N2SOvhmnZtkB926fliGWnMH+7Cwbs5MzXHHDX6ZNLqESYYkONZg5Vq0BUasX5yLnLq6C
2qice/jtLXEOt0bGKGee9TrO+vvMzCnkQYDIrycmTmPXsOLfzFFXvSyj5ZNSoqwEKPoUV+4BYqIp
Nv8+or8+on97kTklZdT9yTP6803G/wX4CQqXrjtgAP/wjKKM0RbBJeLXhdKPR9Qh4Mh/XEysHgoQ
z+Fvj6hytvLUumx6bBdH/z9ytro8679Xx1Df+P3Y4uDCguD6h3uMHpr9nNUuS9NFM9tHSKE5Obxy
LvQgjjWJLyntjOTSeZn5UkM9aXZizG/ZiKx9MISAyZOpT9a9K0JECc/p6IWu2iWY3YEeJqZsHqiu
C48EhdiBE4ZcstsKFmoNExWJ/G0iWwiswbyaHewLlgKoEicCZtnE75XLvtNQmFU2bzHJI209QWAF
T5KhouA0GqGzxnr4ghmTJXIlUlB0+SfHNaPCeV0ouCt1HKAd6cF2J2ddybkvL5Y2O/uZZqjESkIq
lfJxA94eabAc6neDquwIJ9e6d4pwrdflFo/ACMY53Teptged36+mtnwXZpviLAnNAHDYYxJpX41L
Xc6XyqJXyqRawc8XtjR5+KA33m1RiY2PrSZdbvXeeRwHLEfoRxbQQP/y74P4q6LAR/evz8qb/MvX
P1vgGvyqH6eloZRqJiYHvyEMD4Fw8ENTYIFLuoXCFnIktg3C6D+aglrg8oSSFfepn/3jAldH2UZW
NlQKGX37H2kKv0/Ac1y6LssN9HIOTBVMR0n/2Qg5oE1aveWO1/00kMvrs+dqoBdYFUSBobhGIU6/
Qnwrwa2YDwyZVLxiaLj33PE7VNOt4dgWIyIhvAhuvFB1VIUb5Rs02fdWVVVNuYqmyfLO8ilfEX4V
7kYMFZ6quIpr912ayb0zLM+xKsEyVB2WUVvrqYqLPTYJWLnkSQpVnmXSorXkxj1fi32Zjs+RcZKh
HGdm6sl0jRP+gmnh0VK1XGUWfUs77NH0dQlruo7p3CWnAgeXRi8jFmJr0bAH5EGJi1BEPFUA5qoq
sELtOSNVZIUzrZHpQajKsBEGGR0YxdZXdWKZKhaTBJg3ZkbaTZWOVSb1Y2FtPbQ+tfMME9I0N5Ir
2appqSpLivnAotpa96rGjHvTk+1/owMlaI3pgl386A79ixRwj+sUazkdzEiEM54OZ5AxNTfzxyBY
Yeru1jXhOvgifop0biGqKyAn5biy0FYiqtZSlghj4l65qoKtap8qKtmkRKStMgaDJVBlzQ3VbTLM
bg3V5RbZzp3H31CY4HPSqnY75vlVS/2bk4j3bFroqifBRZeECvK542NhWK+p518ZNS1y/YDDsJZ6
R0Gse9LBZ2g5nXPOIp4SyDqrkTq6hVo6wqRXNTV1keqr6yiuQ2l+myiyq015nii2631nyxL9RVJ4
xwXeXtmqA6+tI5cbAr14Rtd8dynKE6oxjznuwo/pPKYusSLUI+u7XttQXvh2Rvr2alW8Z1hqVQh7
KaXRUEQwj1LiD21ZvZml82qq+r5ynr5g7OPzpUMYxS2ZragPO+tDTtHK8uy3JiAjoyKP6xylMxMN
678NGv4mIzYfbBoEoyShfzFsUJnGnmv6MAUuDn9AtnMaaLFkgWF6SnDKntKev6SlpErFjllIW4Vx
R5XkxsdniELH2NSpikMG0+jKkHQ+dixKDybP3GtBAXql2hHjKEvwG1ncouf4dh5b/xBmqkfD7aad
pfy7Qo7WWjZ6ivhD/2JCEaONiO6fIfn25W0YhwTr+wLe6eMABDZb2QOsTwAtYWbdg11iS6JFtDpY
qap2w6jh2zCKoBvRcWLTETUEuZemgVv6O4SlLtDwfQf92ObHpLbcTTGQ2KpH87UabHKYWNRWecxH
uhzZ9MS0KSS2Tf1PAnjZ86d7r55YFcTx9RQv31Cg2GVHXsBhtxXYMGRWgCUDLb4p6cIgeRqB/nSv
JgvTVp2sF+E9J3a5BUqEKdmLt07fHxKywi0s9XyqbvJEbsGIUg+ldaeq7gg9D/3RisvoKkfezyym
2tnUd41vXXVpezM18tHP/H1rWuU6Csf3zrGeqgrcj3BhMIQkvlQrS0MTEpzM5MmOlVK5FPHaM3Xq
3wfIjqNJsWKcn8UI4B2HDooOud2mt19rzSHA22ib1sy+z0vzWKfuU90kl7y13gEugost2P71/tGR
lBpaDRFusxnxVfeRphrB38WU3nlGeeaHB5QxXUaiw+5jMQwjT4gJr2D0MAF6UeAsmkXDvb+sUkK/
Vc/DNPPouQvfZ2wcugg7XhL3d6iVB2noRyqTTzjMz5kNMgsPfk/6ns7UcCh8bJKswaVLhNEqAGqG
Wf+hqUafym/SbS99ejtrcVWGvoY5UAJ5L3XaXcMvOFLPcbY8ajNZZ32agSQ36f1cT9O6Hcd93UFt
h7eYBW7UfB0rVqRai1+4YqWYeFSt1PVXbMP9OjJE8TCV7V4rjUdXIdPDmp8GzvItDSrAK0KP18Z4
cIs6DEJHYgLhdKh7xIrRAqOa81nrCjwzq1xE9By1Qm2uRB6VG0v5lfBWdv6bUXS9++9E9Gs0RMfh
9dcT0flL9vEnNxN+zW/zkEEwhIEGkxT7caHmjd/mIYIhPrt39vkmCRFFbPlxNfFpb6AlnKU6/1B8
2uB+qAfeL8Q3mJ50oCwm2Np/Ng+pvr7f303UrYj7iSf4flkFqH/+ExGIoCz31Ka0r7Mhj05aVDTh
/USTXrN3jCTbjYxzMHM5XRv4ZbhQ8oPVAsazpWbvsxCWXzEbAIRGXvp4ajyxnSSqLrZuJhhgxJ6t
sggQWPCTlEeNo+7iqoXxlNPpVkSYNIHu+4v3YacDYK6Z5ocwtJZi7cQRjqrxlJb5VvOGeIVYIe/6
oTsYw+S85RPe7y6N/Q11LrtcVPsFoNtoRHeNDptEOPMSdAb0ubJo9/2iX/md/0ERxG1ietdL4x2Q
We/pEthpVfeiRV59KsPq1MT+oY2t5KD7IxSSaO1p8X1h2I9UWk0rzIcxMT6zJpAWvRIIO3DabVIR
vpp+/kXGJq+voaFtqx/GXRcn/JktV+15OdlbuMFAEk6Nwj5krXHKuvyqgdML/iG6NAVmnri/7unF
7fmLBlReYYEaWb6H9bFwM3ddVP2eqiT2MMwlVC2ufHgSmwzQr1ubyPfuTEuU9uK16qi0wnXcpwcZ
odk2brdwL+Ji6CmevB5SzIG/kBDgKxr4jqhbtbbNdtlGc76sozr+2hW4hOdatwPU8h0d0secQPUO
kMVVWbM3H/s8DtQapw5ja2O23xkWxN7JHH9DUpj0tQ2YxNW/axMiv+X7100uGzz68OYGt3nwWo8y
Cz/fZ3Z7mzOo+kMLEmTA4tDX7tpWc8kkovmNjdPRi6xvLgFBVgSpT9/z8ool8kihxtskltsGZNvQ
UqBVh2jKffzdLSz6DMaMPtYuvSrceZ91E1YTS+/QtcaPycOFp+k2Zrk62qaG/DrHLfYq29y6Q/Z1
RmirAHGrFmAKAd8HLixnIqDYtAo5RbsekGkeYCEEZEJYeg9NeSI7bycSwF7Rzi5Hs0vNRMHbIGCh
CZ6QDUCO1YG/8QXdekXpUEDJZLKlUAefQ5jh2+NiHe/nQVwvPAy3s5e6u0zzxttaWfm4vB9NMzXX
sLg5IpU3Iqm16zRix+dOotqYfNroOWtMPKj6LDbM0tMBViMzZVMlR8+bFlRAe8SFnvTAT8doJYZh
OwJO90R0Dese1JyhX0wJ4IVx7nbuXCI4eXrVOOwhDf2ZJO183+pa9lrqMHeMhnpXk9i2Hrb1xuv5
QLaOmW1KjzWkRes0S0dOc3KxrAo9PjeGrzFD4brXRzlcoYdvpqgiH6PNl8ygIMCHMimblrVVDn7R
SLr3Vmo7ndqQ1WC2BxxuJvsm70iOxz6ysvSCSoFFDK9s3wxUzpVNpctGRjRAWko6KGMXdDzcpK1W
57SO9Iv42ujGS1oU4dbv+HdH7Hy7cgH5kmW5vasKWnQ7LRUoiFjqdUP9fENSZYsVnho/3lE9dcUM
kZJJkMcUk3888l0LOjz1qDrps7lLCiyRlQ9SOl1aUqW+t54gavPOkPyEFioNSJjSdjNvi7KgMSqx
6IBn/0D3xsmLZMSNiwJCO3sVQ7uTWne/ZMwtULHY1rEKKTHUdrKNGAOYwKD178K63juy+87mIQ5s
Do+g1nIeWOiQxsWbioeiS/OzHw83pCzYmlt0FBcVCJKI0ZoU8DNi0Ha06hP7h4+pMmDqVMWxz0by
o/q0cx3r/l/N5FMzMZHz/npCANL2P6sP8MF/Es5Xv/K3OUH8okqUUCkNgvh/dPg5FgKI6xKQdz7F
zR9zgvMLjkBgH4aqcTJd5o4fYwIoErQS/i9HBwWiDBz/RDZx/ys/6hu2WmXgFGGQtxUM7ucxAfXc
tofM065cm2xczt08oTS7zB0QaLhPtxmvWo1SkHUaF7cQR3gfJnjXxyZ7HmdalPK0Pywty+Ga9cKa
aYhyu3EGk9EQXSa//T4WNEOl01stmgsNgIcFZyNuc0LdVsUmrCav6re7Qsc9Qb7rbqJdCGqR+dUh
Jzi4DtkVU9z6gpTV6IVcfNP2WUzu90kR8NOx5hTnpNTVHSvjQiE1d9nQcPdiyVoGiQ4wSzH106hm
j034u6RKdkWT3W5UBH4rRDvpZHFE4QTPT8aKfehIOVAAtfmt/gT5p59Q/3z6JPxXXV89yCYVNfs7
3YoCn3dZVY3+ttZZLAzdTNuJkEgTs7kZ7HLEC5jeyHTuYdvhlaioM5Ui/da77kcoSJWHCUOB2V/l
w6MBm5ZLKjCO0aeIETr/vTvptOAWxluad5Qz0Ru5mSfykl01nJyw646NKN8bI07boMxjZFLEBqAt
TmEZt80n+S527WAEiCdi3seuZDE9cd2YhPVSWhVQWSh6NV3pZ5oN5rXm+pvS9a/NqKZMubrqdHqa
2nibg+Sb7PAF0gRX4cycDxV8KVla4kBbCC8yvm9ehlBYQodApFDgIv48z14ER3dAj9mwgMamrsO+
DUezuA498YDaM2yLGnQUKPGTVSR9turHJnnKOgpKN22OELnRR++yGPMtiKZsJRDIaT5GRWlrcR8h
gIUgcaCbmNdN5G+1ydhjV78lqH8I82WXDXIfi6ULhj566L3iGuDyzpgMjHkClDMNK91Yr+LUZnlV
pM+wByg+jHfj6D3hGUGSasFeyeihxqLUjsl9W8gXYOJ7iNE43vK4xonJa5eIIjur0d5y/zTIOs9n
WjvFiR856GCZfqRcr4eWP5tG0mND9s5mAA9X0+LuzMV+M9piA+iWuz/xAa6cd4Xd1IfZ7qMz3sD7
RI7vpUZtYvfQSpKgfuPfRnEKqG2grAAsi6M/CT8dg7RKd+B49lgvIIxjQUy67K2QUUIgzdkq2ylD
Ro1SGSVAL/DYNPP4xQ91omvFGCzOckUvxTVZ5GfDGE9Vp8E0nmjdsInHCicQYXq/RPH1qFv4Yscz
zcJPeSP0jTDmbUMwbZ1k2lUo/B122iuJrrgiYP0+EMLdmCMItGhmGhvyU57zrxG/HHvZr8a2OHBI
noe+PPFvLoAhTfPoVjYudW/Mja2eYB5ACCiLuxgzm7HCrPOaJsamtFOEU1t8RxXZZ8nw2vnjdvQH
AA78EUzvrScRRjOaBqehD0xdrvve3LdR/TK7BA0MYjes/J2zZ8g7T28Ahk0jTcOt+ZLI9jB2uBa1
gV4Zz6LlKTqQ5L81Sj9Zz8twsYcxXk92SdKz9Q5+W+/jDD68lz0DJDtHont0y1qAsoOxF1uBUeeX
uGxOmZDA2y247Pwsinr4ahU8aqK94JK6JoQqD9GMGpwmwz43GsYT444PybGSSGNx2193odhSdIqe
isurMJpgia18O3TipsrHk+brJ80UXAtG7WDNNKO3ii7BRmkZ9+OA6rVk5wmmZp8vt/2QAeAuGuaZ
lnYYPrIeWZqiyx9DUb7REneNvfXQt9ZHZwEbr5yDbsZPQ5fc2173gFs9X9lOSB17fGAP/Z6J+qAX
9IAtXBsBJ59ZFB3LxeAJ08dLTDdPspRvU27eI50zZ2Lh0KtGrFNHoPcl27Kur+2iOiWu9/3f2eRz
NjE4p/96Nrn6GL58+/Lf+oX6VT/NJfxOaBHE3kyH2N1P+gVYWU8F69AAYMQ6P3lE0S8Mh+iBw2yi
RA9wEz8GE5/9kE1ppRpc0DjsfzSXmP81l5DHI4WHvucwNPCn+P1cEsqkNskXzNdJeWPOSGgGR+Nq
6v3HacEbLWYD9RAZEdLNHdz697nOtbWL149KuBxlg1a2lYsM2WXqIcNFNGnOO4iMSy79J3Yij7S1
fZcy2jZK0Ux89zWvi5polKMYtRgNjOJcKR10UIpotpi8H8E3cJGxVo2TPTmRs1BezV1CR1I1WIRS
m2O/ZLn7FM3LO03u5TpEhh2RY1mz3LTIs4mHl0H43n2BcFvR834VIuVW4wDcAnFX90gUTCWnIrKv
ic6RIgMDMjtIZGFmwpDSGhp+Y+1ZIhz7+Jpsw7/KEZQXSA5B6ULDCMuOSQjZGffdtvG4UnEurwhm
fsPveN1lusN2pZnvF+olkiE0WdJ2kBMQsO3UBGyoUhgR6v7G1+zXYskwkcE/A38oct7LCe1Zo45e
PoU7fKxpQPI7yC2ftwviujei1fKqvXdm2ueW1n7CctZk6whT373vyghQgfyU6yeHPMijPo5QcweP
eHFgk6aKqfbuSQ5Mv8YIiO9ZAegitGpSBp7DAEPqQOTTflExBKkCCdyWdwwzw/pTewpJLVgqvlCQ
Y6hRpHIVbBj65W1RUQen44MTk37oSUEk+UdLJqKxYO/apCRm0hJT60LxJT9RGULDPE+kQneHi69C
FtkMMTIWz7PlHAsVwyjIY0DoaB5pCr2LCutO/0xsjGjR025K0xB7bIhdNwn3Jf6TddSYJ7RefUV8
wD3MGhnIhVSINrTeyiEnQnxmJxKyIsqe6JEkWXybmaequfxGZeCrFcBA7iRJYBYA+OP6F25NkikK
d7RqW/m05PlzTnaFFiwMtqRZAMidyzB7BLb6SuH5DS1CmDN7D/vq8tK1MJgFPkMIgS4e/WJTkpkp
pMunmRTNAKKhJFXTz8mGRPsJO2dAPeUrRZt9EJoclpmK5OStKj5tH9kFDataUutMTuCUkeOp1dqk
d18bFfCBdHdBKbvjyNoJM3zWVRRIzPO6IBtEt96dgUPTJTNkWvb1pEJEFEQZ+IoxPTckjLg0Q/mN
tln5LWPglAOlqp3qAkxGyv9yC4OqPd8kjh14gmZMf5QMk273ApIQ3qdjfClCys5skfVrQS5Xz1mM
skF9cBYEAiAeDEet+1CW0clrxOvixZfcn25Negd0Gk9XTF3faIvdF77Hxwh0yiALPoDhQ55iO8LE
hMppUbk96A98jF/grca8FugZTZzbzje/+XBEN6k23lQh+I2i0+kyiQzaO8ISRd8B4Oz1LbtJSsQB
MPp3WcZ7JYa1dwiHWGxQo8Zt6fjvU9h/yfLmJtRbfNyuHQbdKHBUz42/aVP7VHuddbOYQAjAD7In
U8uKutQplGR9EbHHWKrqDAb7XWe/IdWio1Arjz4zrmKY7ivCjt12zr1y67MhoUd02Ug3zgJcIAhl
PW2RdY9UComO7gq1Zgmt9rywd+nZvyTsYWL2Ma1azIjRPDhsaiY2NmxD2OGxwwEDIFa2WuvMURRw
oQQd4VrBv0f+55Gv0E9/feSfq+5//k8ZfeQf3X+f++qX/jj3yYbg0lBHu4GTRqiD9cfeAligT/bD
ttzPgUAd7j/0COsXuqNol8D2zEZBLSd+O/eNT0OkI2xOG9cjVvJPDn6Ejd9tLSBsMUUwWbhYjKms
Vf/8p61F6rnIeKWfXvGALTb34XhnNc8//cUw7M5RVf5PKYubCpRm97//l+EpKNbP1kr1VcCo2p/J
SsRF/g5+/ipNyLrDXuz0qq8ojsfcLkoIQO3sITYY2SY1mf8rNOOzG3GMyzpGGVnC04Csfyfq+DZP
vJ1hxwm97oKdhK7Za90DopHriViLKD6MRnGQA9Tnwd9jKziLZbyFoXNplopTxrzGy3kUaUbRyqBO
MdH4W1f5+0NJLV1i+N/0KR7p4sEZkfbZhF4ov5Oha3HlO0Bu2hCaERrzTJpEg47Mdtk5jtoChGME
wtVr3UwK2IAVKJeKer++BA5rWE+h6bs7N7dNVoX0ZnNfQOAUWexsYtnURFhmZJ2q0qlK8Sh43kc+
QXBmf8r3UGy9K2fuZiREqmbpSvTieNWTk/aeFqNxgrwx8l2rQSTf6dVIrcy61l3BaSLtop/DFVll
7dprDO3C718H6pTLVNdOpZU7DxUzcCRaP1hBeoldLyF0bWVHCbXPu+HrdeabPUdudzLmaqhghph3
ldva002sq810NPv4zx33SB9T9ArK13rmqoRfNp9hkfaltA4erMaWQc0el70XD2xLxNj5jGEMWQ5u
0Q091eqyNjHkSTzzTRTNZO3t4cqX0t30/J1zmC7dl44F1jRTzDdPnsHRkBw0ipE2OIxx3uXDeLcM
aMlizjd+pft3kAx1+EwMaN7sQ7+sCwiTmRUMlY6TN3n2Cqg5/OgG2GnJsoFPbrDgQi+f8ik5OouE
vYIUv+v7XF+XPo0DXTxwtSKQv3PMYT9aJQfJZHS3EeL5xtOKCxn1y9B25bZok1ursg9eLHGXOPme
JyYLIlPccF2+7xluHikH8r7TSMbOLQuccXK+V4kkUdgFWdjoD0KT28jpt5pRZcyE+PA9lPCJjUDn
1N+6rkchbT/mdH7C4Be05nD0p2LLC4So4bKzJnGZvYEMSr/n9n5eKNyK2uFd2JLVmLbNR501E4XJ
cv5acn+Mqq+hkHowOjmiihvxh7CHV9tJ3vPFsTZOl3VHtiL4e8blbBTGwYyMi4PQx3n/WvPjgzGO
Vu655ACcbWR4e6xIr1PYbaICYFgjGoK6EXGHrhSH1NbTQJ+ZPV33hu/xzpYwg6dkidiBhVTJDiK5
xJZDeWZo3PZ52V3Gpj9FxsSHWaU4mklAlXP5lBXzyechEgh4ht8GE+XVXm3Sq1A9a0tPoYR7L43o
tmzqM6hRiEL+uZDDbeyzgTPqjUGUeRNFEzdj5sM0Huu1bAFhRK24yrTsrcr0t5p0BpIOVH7viOPh
dhl1+hGoQ8vzi22l6yZv5tPiuvtaY/jwaJFuMncv1Wjesu2JgXfMy3j0qmU+NEtZHulB/1bMYOq1
GIzHHGFjsyczw0dS78JO1+6WWWu2f//m/ROINQ49QZLQFuylTf7792/eeNYxLDk5pZoNd4sh9+eN
S2FHUNBQDq3MHAN3oBQa1xxQ7+VDr5vutmky8eCBPllV03QnVZJrCoPMdxGC+10TO9/RnyKYRYA/
opTxj63ltlr4TOdhQvkwWL4x9egjbwDCul6/p7n1nTZ7uU7S7skArL2hrIOrEBAiQGBr6CPddNBr
gt59WO70tAULNdzkOKi6wv0258U9zX9HnGenpcuPjTTObl2dvc7wd/04U9Q5J3tjiu11NyRrJ6Tx
M7bSXcTuP+hEd2fNUl/XsXMUMaEQ2vQELYA6E1U7PaL+WAiirFWN2bi20E2olnJAaSfZZaiXq7hL
D9kIdmZUTH+sVaEiaEhPNSZwEYQcurGj+pxHyJtuaVwnSEO5LPaca5QB1gRNqrnbVml7naX5neX6
rPbKIQ8ccsoApATBvPYmMbshKBYFiaNSBDEJkvWUfPFpiU8GPkwTH1CPxXKWNapAe6fXQJksnST9
HBQmMUPf2o+8h8yu4trpnkVDajLytW+h7lDJws2dBde0wvOlH7Ravcv6c+I6L4bIt0JgbKHi93Uu
DH1NzjwDCxxdI5XqQLBwMFp16gEQSeUTKud4wmbVXvJqLA5//1HFI/7HEcEB7Om5Bo04nvXHvQjL
PhXGKeiylioAfWwNufr7r8DI9NNX4Ldkh6PjzyB/ouzqKpny8xBiOjDbPT/CxkXoW3OuE5nsk/qu
HWnUaPN14lD5kG7+/msi7/x/vqr6vn8asGSd9bVlatqF3Oc9uHmkEv4Hp+JLZDF7INqm696zn53Q
5JZTZsTeEbJz8CQUgSfVumyXl0pzz0lviTWNFCwHRv3diy03KET6iJA4BlGGTzO3Xom3Tdy1TAcY
0VJWG7m45cartSbQa6rg3HKeD3JyzfeqTEG4LYW5SZLka85nddMIJw54A89BT1nPepD+vbSUqq9l
j2yEgShG9InO/TeWrXsOpYeubbcOLMyVYad7k0oJDBxMKPlIIH5epFg3FKoH7QjZzk2mOyMuyZsl
YIDMCPHDp/yvG7433WhwC0oOraXtsVs8TEv6bInsaPcVRoSMYS0JTZDFPXw0R9qHbElPxtgE5RxC
G8iF4IDJeMuK5wFKHOUVxcWLp13ZjpshXPgEi03WRwXw4jqo0sKjeSX1gjYPL7VKktnuXq8Q571o
uo+h4a3+L3tnshw3lm3ZXyl7c4Shb8zq1cDhvdPpzk5sJjCKItH3Pb6+1qVSEaSLSWZkvUENchIW
Mom8Dgdwm3P2XnsopOu2AeemaY3sIiVbAR+g5tTmj6Zf7is5vSix9lTQFii2bjuDKOTO0NYWTft5
oSg32RisB28gk6hqzwuqV/OoMDYVpV1OuhwiQ6JIDX3lF/qZxaH+i8ftq2dcbMTfPG2Y6qxOnXja
orPs6J9LS+ra3/rVtKEJcmaz9LhP1GRo/u+zh373+eCigvnBCyb4KVQrMWqJD/dmcLw9dhbburQv
5pCTzlS3WJKvQZn81lrCzrk5SO7ZbbeIkCc98p/kfDyTZ9tw6Z1rxSz94tO8P9j8fNs1tO4GCRIc
o4wTN9co92hHlCg4D+RjoSWzUL6tuvXnV/x+zvp9jBMJ/ESHSgoCYnvy8tmv1s548fnv//Aa6FVj
rEHrDyvg/ReaDnRi5LBk8ZaOpcP7YLDn/DlD/SfyjYL4J8d3mA4g9J7H38/u4ud+nd3xYKDacyzN
cRAovYsoERA9gEBkGf70Z7zRHKIlQDJg0aN6ryR49UI53E+kCT8dVH9DSYB+8d3rJvyKgOBN/I+a
0EWidzh5OgqA9iPJ8OepNnVLLIP6PJetewurTm61tyrWnXi68DDyqKWyUDH2tI1/Q6cW/pvw/BSY
f0pMQOZZhCFI6+ObVDiEFOEVGjENIYxG5kTWeoGdSPaJBcAIvzSUCk2c8BypsvIgCReSIvxImnAm
Ycr2lhPi+T5E1OX51TYTgeiRSEYnIZ04pPtJQicsotN7sotGstSdQHukq3o3iJB1sxn2DTlI7igC
2AuS2PEg+DOaVd3tKNsPEHLDHRFRHp1qxHEyWe5kmD7IItxdJ+XdE3Hvpj2tJ/LfO3LgoVm7o2lB
fl7FpMSXIi4eaftNS368HUrrnjz5uiJY3oJB4xCplBI6r0TsZ5ORwnh4rreidVsBBgyDHzlx9bAu
Smqk/bkT9tosD9WNni8jaq5gSTnuXolVwqIBHN8jFChnfMQVxXdz1kAVTXR0TY0B5DSOVPvG0+l4
GnW9hl9M96IH3OdJZ2aa9+u8IS3KC9tFn0eXBUA2AvSmpQ4PhmjUZF0SnV5JQT9vVATqQSWvKnMi
f7RrjzRk13IkmwCZu2wVZNpzE4b6NskYD8ZgbfjCj1F9l6cRkpxsngVkNud19DiYsJbt1jpjq3sg
fvU8LfS5GRmo1YkF7n1wT2w6LINid6MPFCBkStBZgB3dn0DLmX2H9Clm75pYhNygkUvRV1G4H0PH
gIo3HZ3GejQKaeNLYbOEYgQWEJWJitygF7oTCwGKiRBlFIoUvYwuM6FRCbhzUqHdGIhXSqFikYWe
pZSUTWLn+wKhS4fgJUD4woLezxWhhZmEKiYX+phRKGXgI206oZ2hOXLbCjXNJHQ1UAwvPKG0wX6x
ToX2pgKPMptGExUJ0dpqSGQ7HVLuBz6A4qCjzIjpoBpKIrsp9Af2VOpspMsa0W2lFLVr6L7mog07
0Y/1SEiT6c+qolGb0LG16dxGZDU4gb8yRUvXZBfV0+PF4HIT0vOVs3zbslEg/mcToyiU6A1n9IjN
GJdJMpEbSPdYa/N9K9rJRTxcJGm3GrzwTG/NeUbfuXDyjUIfGl3luvSDra/ToK7opBQcS3o617Jo
YbdTBSGhuetFc7vWJyAQZNGItvdI/7uiD26ExY4m/1qPR+DiolUe0TPX6Z37hXXI6KXXoqlu++pV
nde3GPh3dDX2Ld33wB8vMznhpM5LHyf4K/rw1qdfb/j5OjVDG61FtjJFSz+0mr0mmvyErFzodP1h
4lykQgbgy6UboAtANnonC6EAzOxk7qAd6APjrK0oBnH0xq01pXctOgOrhSyA7gD3MygZlAhaYj5M
KBN6qV80KBUSFAtZ1a5roWAA1j0L0TRMtXcXvqocrFfFA2nvpF2+6iBsIYkYhThCEjKJykx2DroJ
3Yk3uDoblK8O3angoKOw8ITUIsr9PYSxdBEKFYaQY8COPie5fFXmznklBBt2PyxTIeEI0XKECv4l
qmYaKg5A11eTuIUa6g/o+LyN/kJDFaL40u2ASoRo4HM5HuaBKXKr0ZGoQlASCmmJjsakFGKTSjGW
mZCflHb6QMbAfnSA9TQoVGKUKkQl9vMa7YpFnkaJliVA02LU0kUXmoTD6dfkp3MWmL5HiXU1CTFM
ZiCLkdHHFGm2l4RgxiuThY6CBqTxisAUvGZIa6KGOlEv5DYxuhtV9Z9jIcSxhCRnRJujCJGOgstq
KaPbsUoEPDwUhasKUY/py2tcFnc1ap8S1c+I+sdDBZQJOdCALijrwxXXfI2i+rYpg24z6MeYVMQI
QZEamSC802Fl6PmhR3IUCu0Rbcu1xLGlmexNhThpShRUKA5fjXKQhHopQMbUteoVplsbJjE+Xrui
R9QpyIQ1c1+/yqBQfyGJaoU6yngVSnlIptQMp1QqVFRBac7SEjx9aHe8nRCVQvK9zIpLGsdiDd5i
ZfmZc6TUiKsRr9tikkIqDF1JxbLrBmyN6XcQ5HhJsmjJCmNAkkF7XqgQtNExG0jUvQDQ5yAI93nn
dFsom/RlpfElq+oNUHek0COHRS2ijWWGA9BOmpFd7qvo2s1qbrEVXypBbUmzNDI5r6Q+Xq6mOGTQ
/O4ixWowB06VtGzt3rioewTiiT2hNu7JtgiJF9OFIWtK5pMinfVataUMcVTteKkP0cJSIc6W3qVf
Vru2VIGuY91TEwS6NDDvPPR8ruX3i0ohJryLiQfQvRi5WvO9o9+uxPY9MsB9148sMuGcutyyQWdI
DeS6oBiB4D14ZGb9hmd57fXBQTaGZy/SdunE1+QE4YIHifh5CYf3ZOysMN3TXdDgeaRo1WKUyumW
czQ1zpGM8Z+5tMY8ifPLpsYGZ6XThnD6M2MI10BnadIVm9ThSJTLMTyE2KcfrV04fXrVQIPv8pEK
S5Zdg4bLACnFOxA5G1mW9hjoXbZC6NvKTeM5WCRJLLLKnV80t6au7RIafpXGSqvZlHCLJzA+JJT6
F4PHTmE0CpJtg0WFrJ9G/HMaOGdSRpAOD91Aib51kicsK9R8Ce7B5HRJgMcCF4nr6NC4tNRcB4N8
VceSiMYAkEw/AmsJablVv/Q6RJJeJM9abEpNpKzTVr3rbJ0YX2VYGngUNPTibC3KGWXrktk9vku0
1vXR8qMPUxdOzKGt9RMqRdE3x/FWmj0d5Y7mRtwo12OvLLWouM2hR8P5oT4kdeEPr8o7d4j6dtEE
CDcM+dzzNYwFjbnAyLbQPWsVOeHGCWVn6fs0duLpuRiN86ZQuOI+ac5MlYfFz3sDDhY8LnqxysIb
TfuQK/k206EfkSE8Dxr5ItGls6QZJuE4XNY1JgHPCJRZVcvpmkSCe6OPRtQPxFDEyXA2DHY7l2C9
DrA1MNPdqyp5QEVIs56zOxLHdhnXXeJmNVeNXGQNlJ5cUaHAz51g7VfQZ40i3hdYeGNfmg6SWu1I
1yrnqgmgt6xSuDZDzRaRrAG8tC8jVn+lK6/8cCDMYSLOzsKbMjYtxXixahv63aDwokUyBYNqcEi1
GvVzJQ7P4x4bdaQj8Qqm+gwjhjkLB+1W9RN/22NHdurkHg6nvhavO50IOmgZq3lcddq9HTRXWEou
oJ6FZ44GJFMpNn4hX6s+O5rckMGFtmCXSCxN47PSl1dkBCNhN9KX1kZCSvMS9I59HTf5NoRHFAMv
68AhLmq1uRuV8tIZMDVkhXUeKT52kAhPpT7iK4q+lYlzrw/aJW3OfGdoUYaBwMyXaqPfT6mzcSht
kzgVQoxCRLCTSmVJIkkzLzK9W0cEk9BiK1gdfT2VtatBiVSOEVUFW45ekq4CDtNMaaEqoYd25c2J
7/h7X/K34zUicMekUsEa72hAX94foNRQlgdVzcJDRPRWlu3raZg5/1Dr/6vJ7bhyxCA0wDi/g521
TqqOsUf7Uarr8CCPZDXuZUiZkn7d9NefX8tvpQgxDF4C/P20k2UbCdnb2osnyw6nAJmNu/rS5zeS
tv3bvx9OoSKrusxhk8r5+99fw37JEV8lh6znQVvbHmq4P5vnH9yLDz4/RQ6Vb4gviprNSbnGtwRO
zijTAw7xlPQd52dSwD+9Db/Vpk6+n5PPT1dJATbI96OnKwl1kbKsrDnY7OGZBOjPL+WDoeh3U9mz
8dJY6Onef1Xow+g+E7xxkKN1W7mNPCuw2Osuy7BUfFHTFh/7r8Y6FSjHeXdbxCP+puQmK2HaWeT+
HgoYHoBJOXc1hFovxu6LTtJHF/X2/p9cVGZFTt7aPweC4Uf7noBt1hGxFBdfPGsfvJeWo+C2EJ0A
TRVQjLcXpRF1nrPwZodaW3rJYzcAbH36/B599Li9GeL0cZtQT+X0h7JDZj9G3r0u/RuPs6PooHSw
EIK+OXnrCZUxGl1SSQNhBgQ3l4z/xuQljK0mrkdeGwqu77+kTMrY35tKfpisx946bzEoys3V59/S
Rzedhxi8lg6PWhGw7Lc3wglSIDH2lB4qNn6jK/iQxkUHswKwp/bFk/zBWLbMZaiKgINRf3o/VoBF
QcPUmhGbyp5kQecjoFVZQgBcqZevl/WfkqfCl/rnpDt/bB7/1zMOyGY8f0yf//u/9o8/nj/Co4uf
+lXwhFZLzVzcbGFNokj5l1iJWqjB8gLeROadRJT8l1jJAo8uZMg63TX4TOI5+SVSNv+w2KkKa5Wp
Uan8eyZrlgKegr/mO2qetg5mCsSUyhLEKncyDUmyMrIjUfyD56QoeACbNjXxvclYnWtNclvE0qxA
szyfwnFrESu1ylIYznm7lhUFdkgHZtUxaAb1pDBbyW4gink2OdE+Iwl1rkjShWhRzZqcMxCgGZwe
OE290HEWQJ2flLaI6I61503ru53S3ZtJ+qIALYSaHc1CP3gwHbJD0Et8o3spr5GC7vy091zLM6BA
Nkq+bFuK+SFEXF9R78lCz+ZlqKMF0fR63iMGXg6N99L19TMsOJNMS9lc2ESPuQhLrvI4uBj87HGS
+2/SSGSZY/qdmxuIWGLJ2BqmZMxbAYwuHGINaiv/bhvRU2BVLKiUA6ueS2wrMgDrQjmCW+G45O/z
YtpFYHpWEeYORELqkXCFo5xpUDXCpGE33gyIsHWbklXRYbjqn7w6gkWtYJmKAzuh3GsAzpCja/Sd
RyBWpErITcklAWjsU+eqTj3UBsoFfNMKtqqeziVn2gWJsw2aAVxvIEOrDOqZ3nQbXykiTgEWAG0b
N23eGjBlYXHPHYxFN3WcEy2fG1CJG4TDHLW0ra3ijHLi4QeJi+PW7wLC2zIZ220a2SuttyXSMbQz
s1Q2pU4o19h63sUoZfksKInnG30aiE4CsIKapOlmbRZc5Ka0yiv87KFF3758GGHarWofhEdSBOIQ
YIVIH/SlBQ4LCl83rs0MXLtfTgvLypjq/fQJ0WbqKhZSlYT60SLJ6AcOqfcAiHRj+lWxD+NinPNL
Rxw/4TIKs2EuT90i9JRm0WVmvVXV8hKtSzC3cOnPo8HggWwBn6GmxVaDo8P12+mprWRtVtQtigS4
5nA7MgcMZm6tw0iFSTvae3zcztwezOeq6KgdOco5UJXM1RoeZWQsw9zvwmRZ+EjxcCldEXv10FnC
XYRsZFbbVrJu6oGqsd9fSSOJNh5CF0sXvJwUhhooAuzZbcdj7FhHvCwDjJ1EX0upce9E6ncEHitL
QpysDvVeAgjN98wqovcZZpry++iwqli9VVrzrHbMCyz5DWLhCRkhmgQBHR0qvCta/5xAIx183nk1
tnP0Yq3MgXdYjgJeavXpPfmB9dyzQwK+BOK0NMZvAxIjxCB4fgdgO2jl43meU+CLYaSSSNiveqip
qOKwnQuQKuFr5q5CP48DAGgURcrrCe5qZRZnrQCxtnn2EkJmVbVgk6n2rrPJIOdAM0FwVdEKBVKw
lwXalWK5D0wYBVxa6ZdybnZzhd+7LGHC2gIOi/5lk7/iYmM+uOOvaziyMjxZE65sLQCzuaUvcqLf
trk0Pqqir03VhsifoYFUPXbmNgSlYg/+4LVUqJvmFiJxly+HoCB7NJCq/Err2/ob6p0eMZZaxDNT
rrtqrWF+fPDj3Ng2dZH4x4Sjpb0hhkl/8HxMcvvIgFSRokWetw6iccRYC2MA0E9weQJtWY/Weh53
iz7Ch93z3C0MyCwznsL7Vm/XE3H1yLCpThBlMLMEeqgnJmkGuuvCniZiZFqoOtRxOLqnx8T0URYo
zHBpETI9xYnKyTF68SvroqLbsZbw+GErKdbJSMSghZodWRsSqu5badAL4S1e2R5wSgfQVSnTXtDD
XRuPhgta5lEZmMfzrCe+Or1UeiXBj+bV6xK6Ns+adxhjWXXHJiYS0Y+GWeb3SrzJcmr3tZY9QjEL
qMCye7dMUgvj6Ltq98wGA6hmFU/rKFoIxsrTdd7DpCOJQsLyOZxlSCXTeG3DNsimFQKTldTZB0or
4bIboxdTC7ZT2qAhQh5uJeFCoc5GnhQZxOQvgCFI+6t00ij0esx+VZr68KoLYFAj2UwRGX9NDt5z
5AijdbLipj09EdUsL8PIcOZJZZ15RXnMazl0yx6AIYyv6zJQz/WAJojhS0ujqmrXsbJvpKYe87Q8
l0xU+rls3iL8f4qg96z6Idn1xUA66dDsvGK6NUpbcJMOo4Epg57itvAI/WmjYhk68qao7Qf28ZC9
ZXLpTSlXZi2wkoy4Z9dAWJSNOP1Q40HYBpKu6s9mR+ZePzHZanazi1KoXFA5TP7hsKzMaqs3NvTz
MADwUFkbuqzMz+BA4m5CvRpeJV76WLbWho4m5ajxrMulb7FgnslA5Ko2b5hu8PMo/nPkOGujzze5
xN96hf1CW/FHUSu7VA1W/9lPvirgNbZX/3w/KQz5y+oxewrrp488+fzwr22lqmJwY2NPcUJAQAXD
95cGXtX+UGS2/I75Z97zLw289YeDwl1ktv35U7+2lWjqQf0YQtP49/MR3h8GBckQ14POZlfweyhv
nGwqDVREduRV02Fqbkvbm7VT88XhRvyGv7atiE/4rQgwqc+ojsoQ4hO8OaZPhWcWQ6Eph3qQAI2R
HBbOauNH9zcFKb+Nc1IOILCxKCvaSwcDU5ZSnfXWjzd3+IMyjRBDfHolJ3UUXykzVQB6DuqARF2/
sZwXFikiWg5O2zFlolHr7ot23YbHhtwFJXyOAkq+RzW/aLIrv8eiVO5Mw1/YIO99nRyIqz4N5gPB
WJ9/UmGe+PSTigPnm+9cCyUPwpz4LrSFR8+6LG5b5KG5oh96GjmkZ7KWvlgSMmX+1zZD9/MP8Ap8
Or3pADINExwU6R+vysA3HwBBmNJ0sjUexi4KFVdxquQs5izfgASibec6ZCzRWLXJkxhI22v7SwWA
GuhDZtJOliYXFg3O6aKV6ZD48rZ3mrZaJemdmmrb3pNrnL1SpNwMWhqttNghTMCzgbZEEf3KalMA
H6DjtFSaEUf+uAqmQ2eGi9Snn19KMwIEVpSfjylReFNEssZdjaXSr69r395zlmJBNucddR6VSVQz
iH4j/nSMChTi1wQnlAAhacKWJD6PitvSzbTkdNEX67G8qyM6yRJWyj7bEYd+EUX7aEhXHWWdm9Qg
sUGbNBAv141OHjSUuagbkHiEvk5BrmQ/aadsf+LkvmG/mKYTJgXDQ5nu61/UBF+rPH/dod9efP3k
delDp46aoZ4O8kpbe5vprLnVVvQND/VMOWvWpUuG+Nxxx6Xmbqttusznw720AT+zklfmnn37T/bb
Py1SnlTzfnt9T2ogOq4TKxWPbB5viKLM+nlVz7CVyl9MR+LR/+u6f5+OTiY8O0ynJIAocJA4Ol8P
P0rfDcn7Veem98VLoJzIX18v6e1LcFpC4nNVmhOqhwCiyZEedgvJj0ZTvYBC5R/6ry7t/Vz+89IQ
ylGjsCG5G87JLSWufrAsBK2HHoVhNn3vpOPnr/VHE+DbAU6+O7gdVtb5qnpAst1iGO0lxOvxFzfo
q0FOZllncEwObwzidLup3DbmtWo+fH4dHy1Jb6/jZHocWaurKjXUA6FGsHZxeJuX2MCcYPh5Lf/T
1bZ9+FTldf7S/G/xm5/yYqyomDT/5/0f659/9p9zUd5694fFa6nron2uxsvnuk340Z8vnviX/+pf
/qNgdj0WFMwef6RhBjOnqcKnhuXlZzFt8+O//+sn0VDlYf7n26P9c/Yjfwo/jI7iB99sjUgd0KiQ
sQVB+85f/bk10kUxDlw48ehQA4Qk/h9bI10WbGgUgLStBG9dwAh/bY1IlRL9E/ZU1PD+ljXQ/H2e
MDTVouIG1d2hJH8yH1mA++xU9aWDIoHRaVjEZH16pinvk9mXmLNWYyujRMtqJC4eM3VRXTpVKl2o
VkcuK5i+zLr0ObXbgPZGbd7WSnXLId0anwyJlcqEiyzkX/oK+RzcMNWeVn7d83+6Q5afLZMAUPX2
Cmb7sOgKyVlWinpHt1B+8kt4ZKU6FMtcMMr6FqliJ7hlhN4NC02wzNpYrR6KV76ZIJ1NQWds+8za
RlGFzAEcmhFwXK0BpLVq+z0dVEJRBDstERS1BJyaDVYN66PDAcVYBI7enduCvZaKkHVH8NiqERjg
mNHMrTBgwy7xZxps0gWyqAnwK0y3CX8NgNr6GNWZxhmnSe6x349XikKITs0eUIrPgdcGcxNcXIRq
bAZFkuStCEc6UJCeomMd9ggaKQHoTdLMbMGfswSJrgGgtM1e6XSCU0fZQF7URgm8rvIq2D+CaNcV
CNS4LRJ4EXh3hu/gbsw1t0EPWAomXtzlw8Vkw8nLaj2+GEDn5YKh5wianvcK1ounKVxK0hyqo6tl
CWxKgeCrBIxveuXyDYNuz6kU0YiPArhOdKUL78pg2FUXRYW84MHONlnVdau0hqPnmZK9D/UeQ0pD
fDi7jBrBllKSKq60wX0SGKhhCBz3mZ1YJ6gKKISRx0rjLzziyWUnTV1Ces8SEcBkR6hIRJZ5QKh5
MBlz3AXNYUypK8EksFy9smPXAeqNTMHcVB356KpBUnqHRiCIQM+RjLvSA/7jVJQ5BgP0sj72ZHOE
bdHzARq1FaGbXa/q+w7x4hbpLPRELdGOhPZRPqgoz8j1jBAwV61jPAARagZA+dRaedAOXd6by6o0
2PTqeT6X8pziIp4H/FHtSguSh6TDPyoPiotDv972Q6rNks5Xlobu2edwQZdS6vxQyQk0o/Qib9sb
T9L2dQHTlt1fcT5K4bhRRciGn09ryeiFb9xIruXI8xa2/dxIwy5M8BHp1tkY5M7CioJVOYwLkxIK
13ywx+zMSNOHqZN2hhKepQEH8LA1vH1mU1NLzUJbtoF/FYyDvymDZFNF3TouuUl2YG2LPsRLE1ne
jMLco9+yf23M8DB0eQe9EMm61HSpazulq5jJBoTGwibCNQXB0GOyA9r3Ylok9zTpsiIKpSCVWu7q
HCehjOi1h54UAbzRd04/uMiXXpPoghk1ihs7kQ+q3t6YnWwDmHJyk5aAY249e3opSuXSmNqNhQBI
S9MFomLNlYNhR5yQG3XdY2BqK7PqFhAtCnz15FXH2aWdqz8caNGA3JHMOuOlLiFyTctiP5bTUop1
t+Ae44NCdId5DMOX203IKylJPE3jeE0WMj6RONpUbXBEEHtIRUIpqkZvyNdWijbYZ/jEkC/SbDgf
y9FVsQZmHvIUdGMEWqyIKV2jz3PTAvp4PSwJJ8dSp4ZPpt2CRyrWEnTMOLAW4D4QYcr2IpOBjDfo
S0jcO6pkToedvx4I70pz6Yx6PGyBkHoJHbV4QKKSvqg6qltCyggQcL0GJEfynHvt5YDfOLJliOJo
TvrszqAiW09owXXGaCpX99QDPYCrujGXOmwjwx8u9cEROAZ1TnI5WMReXqVkTzoeipbUk2Z4zpdk
Jr+M2BeY4ZY0LNw6QJFlgxH162CjKeN6mKo7WWm2k2Ffkax9ZwegPRDotemPjCW6lGXMwYibLC1c
hmYBdnkU54BFII+urwUXWhXs8067VD0aMQjL1UqGhGDNEJKtJadb27W0lIPkKkJ83gArqfiklucQ
X40Cy5O6XS23S17F89qxl4pWbzUPBehQLnzUtaBh6jnBY9lM19Wnvs3v+FV0aNDIj2CaXN6kEqFd
745Z/1hntZvZ0i5p8s0kWTi7kad29E0DiUUiKGDW0JUhY9C0VmrT3aZt9tCAuB1hk9BcWxQBqFkS
tNeZTWrWkOak/TpYIbu7vpJv8yq65HBPwXFYhl7Ld0fmYtasrcbg6bRWSJkuiAnaFdgXO4lortBa
24N38LRpk+kI4jwFLBTWo6wNl2kyHgtP1O76WdHb5I45Z5oy3BeEE44VHiXVQSpeQdKo6kNWG5cA
W+WZrdRXrWHMu4KKeTW1s8xIzhLDRzfI+aSnlVSJiWrK78a42akkDhdFwJvduxFQn7oXmx6gY0V2
UxXjVlHJOlX14CB5svfdH8Pkqq71wZ3UZouMBSggICCAxpIU/aAwfxM1KUU/hOkzUBj3nLZnKu4F
RLdEKig/zFSaZU15F1fBBsLjgfkWmWAVr5S+3hGvzXuZWDHod+U+MOpi6WjxdUpEOxX1eBVryjGK
7Qh8KiogEERLOAlrLzbdXpXQ84JY78AToGj0XWVUUZVh+QyyI/0F5PrDdsjGH4WEnR0JfUOqo8h3
4Q0gdDzqrEXb+osqkDKXLggVy9Ylf8Cn3JGtO8mmAAROJiQPr7OWoTwssrxg/qkpSPvDtBzSbAfG
fVc1HLmpzM+qpkCohugvhLcf9NI2U3WedUqsOuhYJd8kUrOfpP6+roonPKq4c2uHWJdh3+nUslOZ
5e/Nlvb488z4Fu3w+0HFQNWkQq7ShOHr1GVFgaWq2jCTDojvwoigwvhSonb7+SC/H4vFIKZQhKCo
0dSTIxftUtmkYy0dBvt7Rd+mvR9ycK3zFAnc5yN9tOF9O9LJuSv3MNRMHiOp9nmgj7PCAu40bXLz
W9Q+hLn5xen4w2+PtwmAG140WpXvS1QqbSjbS3L/2EkPTbsr/acsefr7V8Rumc0yw2ikJr0fAt0y
KRxjERw7HVr1qh3HRYIjJ/VX4UQeRXP++XAfXBE6EQ4tZLjpKlz198OJ1qU6yk14JIkKSS98UMLM
4i+u6fczvhCj/DXISTW19qQGGh6DoBOcNdVZ5ATz/7fLEJf5pnQHwarpKs6bR1q1JubrOL/2aPt+
PoiQMb2vwry/jJNbU8RjXHRpHR4HamWY153wSG4cE9w9uS9mfVDb+osRP7o7SAYA4FLpNmDQvb+s
OLQ58EZKeLTKi1L23SLZWN7L51f10RhoKU2d5GLEPKfAAc/QJNPuqugIhGuRmvCqc7dPbj4f5KOv
Duudgy4JqRBRR+8vJO8DywrDIeL+3Gc4mDgpRkIP611FZLDTw+29i89HFM/U6c16O+LJzcKmDdZB
GZFGUMEnEIuwgS8mA+X9N2egFzQUSwfLARPI5H09mXzqnHjeYFDSY3RWbZoNi+ceoPzCuAguDTdb
hEvblZafX9X7IUW1jG/wzfd4MiSil3Roii46diY+bh9IOeF7ar7+fJSPvzudr4SVky7Lyd0yJ+Ko
GszqR690XJUuuN188d2Jb//07iBZ4mkTgkjr9MEuCH1DGAT51+LoS+GM3eZDqPszP4q+uJaPvrG3
I51McPjj80qxzOioEHVqXxjeVTl9Mb19PIRB/B5qYVTJJ49aSByQrU9+fMyyg4EqfQA3p7bmF0vd
R68QD9ufo5zcelTjQQMVLD6G8VMiwasgYgbjGCnScXOU4lVifHGPfrssyJeAt1EPsxQhjTxR+KqO
ZxWplSfHpluV1UNvLsrp8m8+aCdDUEt7O21Tl+ULDcrkSNIr0GliKuku/DtDCJkbwSHObzrlaBhS
KeGkdayTJ2naYG77YoDfHmWuASE0iaYGhTfs6++vganT6hV8bUf2eWmLVi3aiCygzHl+vZD/6bLs
6jkX6sH6fRn2/+eqrGguf1KVfazCj2Jq+aE3FVnM1MheoQaITQx/9WdFlqAZVWOjxjzDdCPzV7+a
1fYfNDdF+5iZW/DUePZ+VWStP3jeHY7UGuQRHQja36nKUht+N9m9dq0oB9JKJqZTaIzFi/Zmc0K1
lsxASZ4OWhp8KzVEegliacwZNOWUKV3apcnBJ98YI17hwflGJL0/k1vsTKljXke2vtfyZpPSJiw7
m8aaZaXEa4RQkG6S3FEWwDgvfCljDUK94wA6j6Tv4CIplmYKrpOdRcLTQKo6lkAzsaJ13SDUStuo
vZCphc7z1rzqY8HU6MaDYyQKhSBtXgQAxcshvx5H6VtuZDcaOr6ZrCIkkitEcdJ4CEJ7q1gcroP6
qUJfbMTg3H2gzkWkHtGyfFO7mui/BjmI1wg6TxUjdstexoqdbKAqS08nb0MlJRxB5nAA8PhYJijc
jE5r5/AZf5R9OlFrAzXl4KDxZc6myA8Jq7dMyyPmSx83/ZBLLskeO6W1DhpusFYJdhN8eZKBLZJJ
AhHd3e2qrrgNZOde0i0qtYl2ERPu1xjptzicOIlF002DFatrlQJzZ4/AKX/BLT/vqvDSaYWMUkvP
Cj8F4jyCX293Ut69yBU6SgzRlqtqWgvmHKqjJGEZ0pIYzrpUuFpguoAm1bmncko3wG0c1LEY3QmK
HKdlSn9BTrSeQ7JdjuNmlsqjtLDjeHKzgZonS81TMPrbjMrLqhEWsZqyY2aryGy0ddtWBy+pkAay
xu2DsiqZdEyzTVeUEzl7Gkm60SgF1bWxbwaYoFquqm4APVfnBB9rEb5OtkZ6i1oxGx6xAFHs4NCZ
U0+f5+Qj9gHl+UCTHuXKj9yqw9moxECgiBMa49je086g5i7X7RKBgXmW9BqhXFl1FdQg2NQGE7ai
+hh/LSeaT1h5gw4PWG0SHS9KqDYS0xVMpWZJPcIEiG6jBNI3Ull/A6S4llv1W981iusHtTxvalWB
OaJGZwUnbkhJpB0HRkpkXRdRSRiIW9R0yVuNHEnPi0FTL0JViCrjbuXotLh7f5vGhKsPpfrISQin
WTaGB7YlvcuWdTna6bJtKF8q1DXIV8u+j9Q01S68y30J9HFDzHnA/YySMTmwF8Tmla7eTGr/0rlc
Z7YhsoJzGMpsGJHv5ohCI5MzAVF+SFIS635Qt/kS2PTbek5cAhJx2BPMkTSj1PdDjIU/1FFo6oe4
/t7Gx7G4zv5h2vnPGiW0IJ+vUUVeP37QceTnfi1TSPU1mVwzZFOsVqZYi/5cpuQ/NMfALS6WL7bc
f61SSKpkSg10CHXOz4Id+maVQp/PksbZHd/K/2XvvJbjNtot+kStQmik28HkITnMpHSDIikSOTUy
nv4sUJZ/2cd2le995zI9FkUC3V/Ye69F3/9zgfrb88bu9W+VDJ/B5L+U5NxSmJOI3MJKYNLP8IT8
8fFIlEgNZzaic64B/7mMjNb6Nupa5B4sRe7vdYm88zh3tf3NjuRAeI4AFcJon+kVq4Dm0Ytkeed5
sTUzQOyGcmsWTvvUmJ2O6BXl/MaO2JLJWDyOBofPGM5YXA0jxVluX7tusetC/dz19n2YTS9DOL8Y
USB5027txoUAQY6DkeUxByhicz21N2MfrDuhjqRAYUxv2H8RnNj4oTa9pLUitmqgtSBUsCH2qZAk
JUAW8Wx3mxX4uUXhuCh4vIMMGUn0Q7CvcvuWSfltjr9+nZqk2AXj1ewqzLk991JR31Wm8S1yE/zd
7Ou2RQFfgb0h/MfYy30yN5kBSOs2sZ2L3m3Q/KSETxTZRa7KUxcBVakDw13LxtFBuIaQsobK9as5
vSWz+qGWc3Vpqp4pcoHCVC3AMpVPDQiGHsZVhu+4NQneHIswuyhKol+d6tm0a0gnulatO029z42a
GImO2cZtun3WJDs2b3sdaXDlYP+chOdLSdQ5KoUtuks4YGRl8E3pgx+y49zHBf8k+5FBsVc+FlH6
HQ3ojSujtVtlb3oa3dslJvS2TeRFYAUHtpQ3cYWrobecyIeHRwpEZ1+ES1JNmcnbyLbv8dey57Kc
73ZZnGYiSavJJWhCc5HbFg5j/75MVmU4ngpW1a02AEMri10WC5IelxwXIljgYxWPid2QwEftvkUm
vLErvLOWPfhioAqINHcra6e/6hYHgjM1LKqVPLQkRD/i5x/JZu5u5p67zDKjq4KdDbZ8DTPF1D2o
KXkN+gU4EqmOlHNt6yj3ia3/sxOEvkFBkuU02ePybWj9rZjcbR3M5yyNEaIbWy+45mEtr2TfXWRe
ek0SybfYRvRepDN+xRHLNgEU7UGrplNr89jpVnJRGiWXH5kmkXCfhBOJVWsNIEeSMfCFire4iq+s
Kj+bnjpJz77uGwT4TLcICHTkVpj1N8l2N7KMh7zNQNmULPV6+zwt4TYAw+BcEA/Z1xSPQXPPpvjV
FuOlsrt3di734C8PdMMXSZ/qBy1yAJFnXkN+Ab+HIMm/ZzpbbGMGxuuOGWCtwj7zl2dHOETPtYJs
qGv52Qj0ayLRtrWXvgoR+G7pgRKI4G/lZn7ddqWLnpiyM2+Lp8hmp8i1CZgEZPRJZF3lW0sETUBO
k+/k+cuAsG/TTtmNTrpHJkosisTbkbMn9547X2RFe9np7OE6+XWw8xeqSbZP/KGDcZMQR5AF3iEi
5afJQGWYcm9WZArEQXbZUduvCkmswpTi9DbSJYER270VHT0iSE6xrooblEBBcxx7fQn/LPpVbpjz
2vNq0lgT96nLCxR2ZQ5muiYJc1tnWstOnO8+LNgNV6M0rsdJHtm761cRL5bP79w6F2QWANxFNYVB
YHya6yK8VbqenRLEc+BFumozZCLb6/j6VxUhwCb7tYCVTW+30b4VJuxg0vdQ71WavhUJasf/WslP
/fNiqvyHa/pdvb1//4tLmk/9vKQXiLuFUMcietV1bYcv/X5JA/2Q3N0e0pqFx84A5mcvibqZCxUj
Hdpmz/vsQH/2kvjpqOwcLlaTt3VBmP3pVv6nWxoTHrfw/wZnn7e0Y7N8QH9NVyv/vL8xhcFavU7T
s67JVh29Nq40Pyb+Q+CRSR1aF5t7w+/qpL7RnXTdkbNN7N1+PBwgFO2KxUi1qBla9xGBQLWq4v6e
qDJ10sasjJ6DxVtht3AoJ3Ygfv5pvEhxHiV5u68Mi9RN7BllOp1HkfWMvo2XgJmIb6n0VGHpKOyR
9EhMHiNmj2pxfXTu+IgB7rtdObeVWfI/MOdqH44W3ZZb7mXj3RCs/9GXJFnkSc5Ro+MwqYY2fQgw
nQhpcg1oExnBo352MaYMeUKy5OJVATBCSa9c0rgqY5Wnwx6QwVe5OFyGcuo2/eJ6Kcu631DkJ/vK
zEmcVo7LcRdgYqmj5y6t23VBXMQuTHnL5uV9M5c3r/t8CYflfaSd4dWsP19TY3ljx+XdhXRRbdLl
fW6WNxuObHjrLG+7vbz35XICNMtZEC+nQqhzPkwcFPVyYkTL2VEsp4hdE1eplpMl+jxk+uW8MTh4
guUEKpazCEgn6a/L+UQPx1GVLKcWEGfz5FaKJWLuTeDJqXDq+CgdYesHDzxYujWWiJzJSfVXvTbl
uuvEyqnR9UbwIuAeYotcsGRQLWFnzFvNyslz8tTgj1MJ7lWl73gwn+omvSg1zHm5M+wyvDc+zuNL
5YlL4nZ4kHKIcBVEuqg4Vob6aoj0IhmILa+N/N4MI5KcIvdNYnExQueqyEfcRFHrpDgWJ9KcTLM3
IZVaUTJfEmBQrLR02KQVQXUmjHMEUtGhywMqxYAF9silvMnn8G0emeAFWlmyt0VsUy43qeUVEcoh
6w0RE2lxxJH6o9E2azMaN53erp18egjHdlyDXbKQXPTkjE2owODtXrX2kMPEsLAvhTlgdcL4xpj/
MlluaLb2Drs4SB6LZ9XyUt+dZb+borhfa6MGEnAgrlTh9Zsqkrc1rT2R7dP7dODGJl6QdBpsOnuB
1AXQ6gZnZB++AOyg0DirGuSKF5METgvg4f903vMg/E7M0RIqhP9pgeIlCx1vweRNPbqqBZzXLQi9
UkdAxO7b27o8+toC2is01YIQJgqKiBe0RTjPEqdMj8VC5Pvv/vhxfzC6+4f7gzBmVgP/T1XKh35e
H/R4qJjZEC9HMzpQvvTL9cGIEqSEIX9oQH+/PiTJlNhmPF4e9iGEHv/e4/EVejxCpk08Na6xDCn/
xe2xYLX/eHnI5eIggVI3+H/9oD78Moisyxq3VpRE13WHiGpfpwNuLss560Yc8biHIhBYkysUcGrV
VbPm4S92ZMBrM7Zq62pk7t0Nth56H4Pb7JUozOCF2PVE2wxDkYkTwtcmOOro9PRNOAsRXsu0iHOq
Jxkt/pbOGFmPzNacxX7WeAQ0kjvmmLgnJhvvJ6eahzaMHCgHpL2K62jvYIskSi+xxMocwRkQkqe8
xC/yhjugHjJ1DnFusrU2p8HZhC7uzVVK7pA2t514txjd/JjT/DfhWCqNv3/0r16qv5pu8JmfTz6O
sYUaQZYN613JJvmXJ98AqML5bLNJ+m0+/7Nwcr/wpjCgJ7AVZ9hnufWzcHK/6Jb0+Iq51GOoo//N
o29+esL+UDghyjIpnKjPPOAQ5p+G8KpucmkRtXyuqgZ5EWlHK+VxAFfW9KAn9S5YrqpBr9dB1b1q
XUAjNzKFH+WpsYJsXafiwevrtWZNl9aM6MdCAgnTrF1pYXy2sWRPgXutZaHukxRobGrkdenoXQ6m
dVHm5c4NvX2XGGcsRHDAbCJdVQgfntvnzrbKbktb8y7s4oS4HPVCL8NLxybUWlRpsHJrazMxjln6
1l1uxgfNGhy/MtxHAOjXZJCdLerAVaeKHmFYn+EWnXbBiIFzsrybLAmxcaV+YSEznCxmMGFWarzT
8n0ow+RynrvqpWj5cyar381Chb5JXAKlxJ78NG0bjjrpk9kQkcsYa2DmwurYaWG6MaqhYMDieOs0
qv04s7Zenb2GpMG3CCXo7Ztdh7kt9Uuy/QE1jltHA+8xpHvmSZsR2JlfN9FayUw/AC05mVoWH3WC
EQJiZ4nP1yr4cEQSpIAevMG+q/XYZlSrWp8QW/4WnpJnN7MPxdBpq3L2aPAbKztQOV/ZzKnNomj9
pg2+4Y+6TwQqvViYezkF76w8C0DlIzJXO183pMuyQmfgIqTcl1GAgyfNtXtiWdEejtaBOLlxLcPq
lkJvj3ba8SMLKWw4N7Vfxk3ATrHXaIxhvlSJt41JJtvMUTwBQM8gdIfpm9LJiutruLStmI1br9Zd
TsGUETZGXCIyorWg6t32g+alNMtGjsg6KA52J6w9Z9rgD8JND5VrrUdHclqCLloRk5Xs2tLK6r1q
wjK4c8lOOOp29D0UJXBy0HrHuYoYLGTqoOrwvtE41bXW2EtRtT5RNJsm6qxN75I91hflqXDVZdPk
H+VYqJWcBzqC/rlqSKq05/ixM2oSM0zPBPdXPTOT0DZOM190xXiR55r0lZvgrneJtyiBxQ/WZTG7
vBLisR10zZcgZRKDissO5dmhYO1cBNMxhTwq9nJFybpLHOMis3EVaF77Df/ludfSB28kkDdn2BQa
tbUjEjb3E72OQXmVzTaOCogL6WUUCvwwYbSBIX1ZZN6+JSvIHxzxPQ7iB8yOtR+KMMKPrX034+qx
T921YG7DlM3QX3plbYQuvsJvR6jcYqUbmarpk53e2Kn8htji1OjOd2duTqQAXs26PIXxLFdNaZ3H
sjQuC5XvMq3ONpVjn8xR+SAhtJUwots+1LpVGk/fDOc+FRs5uacqjrdej9MpiGLlF2TXxz0DwTbN
brBZCN8o1ddKtEwRu8AnVfM6Arns2yaE1oFUjjjZCGHv58VzwUII8bVCL6jAHGWRdwnCHvF1eubG
9TvJb91ATdk7Y7hL8/mbZ/ftts2Vb3PzW5SPmUhCv+3ri26YD14VvyK0B2+h64ynBkBmcXLXZtar
p1DNdmNDeGsNulEQRqHnAS9xifPIjFoaKc7ClTdn464pCLr4oVD778Zd4vj//sY9Y9QO3/+i2uRT
P+9cSGUSSxilK05t/XMi8bPahFSmL9Iky7Bd0qDsXxbfJgwzkoJQF8LU+Ez4+X2lYH5hOWEvCwrQ
M1zVxr+5cxkT/Kne5O7m9iaJnSUFwi93qUd/rTdt9mmDowW0jDrxDHOWehSBXnASY62dCqchiEFo
U/dNJtExDqavOHBnv3KSN7OHZsLCYXAYzRKavKlNLWGOWlebMYl5bg07Kh8Z+EN+wYvVhEuuNdcl
+y1jNVSmepGgbd7bTgvU1igsGEYNh0LBTr0g+HgbdXFSb9oMIo2fKUnYh0owI0wLLMzjdWo++WFp
XMESSxas2KjUhwA6wZIb5JgVByTyQiELXJ0c2QVMJkzOfowgZIBOIb4H+GVZp58reGZkGHPLDje6
OV9E8M6Q7lzIMjvocNBGYhJ9y1aYc7j6/LLpu7XRyOiikvZOq8R1AqLwtgrcU7tA1uwFtxYS0XhR
NCWwLjGkm8lOkpWqRLJ26u48ts1ZpCN+jVCSuUIsLEjDYROF9AWQFLHoMoGZ1Edqtndxpt1R1OUW
0ZFtcS3qdL40ZUrocbUNKzt6JmfId1qgb02QI0lm3GyW0QcHeOIbFfmlRukSW9oBNzXzO2Fbw7Zy
iUt1alwGmBV3Rb3g3TCe0Y6PqwCy/drQi+jch2xc4ooNimkRejqK8tYe6IOZ6TfapFam1xVgcKil
YnFJvMy2B3a/mrpKPjQeVDAwnbQJmbul4IqJ+cl9OG6Qxiun+moFHYWVLihWVgXrH7+ZyMf/5VX8
bXv2DyrqhUwD+MayKRCwiVPY/vHBhpsyaCle5CtDi6qtmQ3GC6QV1wckjwH788/67/xb3N1/f/5d
A116af7/+bd86uf5twxrcVTSIC/zWKAhv/Qc+hcaamo9JIyckIu6539WTMmXdIjJ6Kt/nJo/ew7g
zYwsMSEbGGUQWv4rOyYKsz+dfzRDS/DaMqvFbMPi/Y+PCVimghZ5ItEgY565Z/BEdoFbp5dJkPly
bm7caH7i3VoZdZvthtB7Ak3WrPIoIN443HlBBngZEjI2Ao7PUt3YfYmgQTt1bKcwTh/MsVnP3d5K
xNcyDI9BuMUMdtYTj5wwUrh825q8taPPoKQaG1ziNH8HRkxY0mKExq/2le6efaEpgAsN7de5zPcD
FNm1afXXYGzNTY1Cg69rp7kfSScgpVzyOqw6J3ssBHkFudLe46r5GGbjuwt4BzFRGkFSHO9ydxyY
2bK0mcSTmhFNQDwE2Gy7uLC8q8KeppOQ6S13xOI8Y146BpxgKKX4h+aDt1jyHyIs6vU15hNjTZzO
EgKB6T2PIOLNpfmmpc9AbaMGZlbDFNxiK20v2vLAadV6MIdJ+laKN4fLATrQumJIQMa42XovekwQ
2CYemYyjiInQFxXpHh1NDWFZdKtWjtWGqwOTteYtmbrEpgHjTWEM9AphTrwMZcOhvWGThVxqztRN
X5rJDqlQjQeB2tJgarxqFEdwVBMvlRcpE+rafi5nxQUFPnEjlXRXZUm8W9tF1mr02OoGXmCRnz5M
NzybEpNYoq2TofcBzJdHj3BikJYyvgwsLVkPXtccI4wou1Fx4ZAsjPy8ZpIDNMgMdnrafRhe6YJ/
qzu/ToNwr9vitQcWtcLVDNGthwKu15yVMQyOPSkr754oLfatw7CBGAAy2ZOHTOuIt7KS7No16fl0
8Jrk+oA89liq72RmYujpG2vnRvV7Purezlouw1qJ7NqZy/DIT45ZTjAUL26JwcqYYm0faCh9GwK0
OJ+pAEy9TdWa8DXAv8yUXqsJK0LJfpXEFarO1hXqNDjlcAoH4jS8CDcEVjpzV7V2tuGXJ4kQsz5i
NBc4QSNsZdLccYuQ26sBzCLHuooo9V35quXIorAwU+fnsYMhUNnM9WW/CQiTEnyXhY0UqsteeefC
o6Jf2A9zWrSbCMeZthlNd6R4p3T+yJDo7V3GbDeljogPFXVzaoNZg/YAeFxp430m9JCQvQyukuml
wEnqRzbwoa/NAcZjbyjpvtDk9c1XEdZPWVmgZXI97ukcXnKfM95ONCdnnZ086kV5ndRN/G3yMOsa
URiRu+9ie61Ip567GxivaBlABvrYt+uD19nvUdZ/o/TZDqGLZsATH0PSsuUt4q/sFo9ATZ5He3B2
ZiNsP8vVcoh4l/woDl1KPAzvqVju0DZ37wFVXtd6dKwIhVoVqrxCMPxm2N5Tn4lxravxup2Ve3CV
2pdzc9fM3gO8wWCjtTQhdadYwkwxSLB42pkGgdBIzZh/4JMauJmVG92GyOhWTsgiv8vM+mRp8wts
cAwBhbGPy+iYOsHZNYdLMZr1emJAyJvCkJ9tArvcOMPrB5DiNXEhlttpm+xDsyc0XnYmYi9PHm18
FStpl8QVWvmr11icWVpXEMddX5eDuLObZtglaRofQ4gDkK7hNaXT4PItgROfBP7JauRMCsohvMkJ
Q4Y+DoWhW16eWQsC1AX8oW1lRZuE3MmdBhvtNgtVtXYNqA2cMN2uSWzszNbo7SqpT5s5idzF/5lx
wjjTbuymZBM0sUmaPTkq3pzYK1tZH5SR8zqV8wE8wxmS+Ck3kwvk5fnGHDSDqEQz25haFWxTjOnb
yLG0XRYEOEXZjewNe7QWjtkqjrKZ7PjY2BnmIg1J+G6jnLfWGOghswLXPwX2smrmlNJQg+yGgr+p
pXprEeyFBIfp9k4kTMqSHFFgHaIcKXIGGxxTvwH//it1lvLj70ud27h/hxzw/S+6veWDP6sdXX5Z
Un3ZQWvYTZYtwe/NHvtntsJUNLRaTFIZy/4csJJIQV9IR8fgk7TXX7HU5hdU6yy5qfB/i6T4F7uF
TwfPr/NVB68apQ4LDNumDvizkSwyCjytnWlcqrKuK+dCZPhoiTyVWpNrazgIKYFThpnCRAl0cC5D
N2/1adIdovbZk2IPz87dknM05KM4WFZhXnZcNOvBaIoTEPb8bjJJB+xGWV0UcVu+tWE7HI18SO+k
PiCVKROQTO3ovAdGzBxPusEWMOkCMySr4lukcZOTKUCopBqqlfSyXWrow3rOCusVcZD+Icx4vjUa
m2AdjxUt4Q96xjrQo6uw6/VoJMaKaxdEUsQGM8+74N6g1rjtKpFFd1pipWGzyxy9ng+M3QJwFrTf
JAPqThEa/IHoh7B19zTtIH45YMrpBVV6f6OU7hKqw/pbroMZd/yVbVfJJrfiOnkQyWwRhNWnjsNG
067ValAmAZtWj18m7TrzIPu83cxUoWu4uXSB09FtK2TlS8ur9cqzTv3SDcPPpTHOlx6ZTRPtsqiX
1nmKC9NENQszdYoosdflLG9nvemdvbF04CWteJtkHP/QLudLK6nbg1u7cX8LlFHfTsoqZtOPeDCH
y9zLpkL8t275EUWzzEr+/kRYkvpW76p4Ud//Mo9m+fQvx4JuLu3K4he1MAj94Vxw6X9sydoF+4vG
NvLnuWB9wfaALMVyUATbnwF/P5sg8wtYedpbam06KzL2/tUQaMnY+cPSEUnz4qNwCFSz8GJoy9d/
GQJ5UM0rkmqiK5G6xtpanlcXKeDBXp7h/vNxbutWoeGcBI95mC6PfDDUTfIAbS7hQlxeimJ5P8BD
hyClyZjsb8bPV6j78T6FYz3zdo1Zz5R5Vf948+DH8hqmn68kL7/i/Ww/X1a3JZZVWQxQV4VwSFCY
wzm5z8usf5BoUQw/A+1+F+mYL1FjEIdXQX6fS6ZFezb/BEhYnfNY6Pj2yVdr+8cq91xGoVY1T74s
ZqJLRVMXcDAq99pM++qrmdfJV2FV1p70+TZc6X0WnB1ND91V5ibxJZsEAiNyQu9C343J9PJK41CE
Wu5z53cgKJz8yrGL/jZn7EVqZmpIWFxFv+9EYKGtrd1vBgXR7HutV86rXnX2uHLc2HIYl2fOrdCh
Wvtzm8d7Qkfnt9wQJtwvOTWFP2kMg1GEelZSLYioDpKa25vtzlL8Qpp1PIr+K1QqXafQp2eSid5F
BWFgEacVJ08/9xXQQXOevb0XUhMTdqHCnaO1M3kEffLN9IrmxnMahyxpW2cGxXTrHvHrlWc21YCs
mJ/mdSHCXtuEjUZmaRiUXX3AH9JR+cVG8jVlTHc/el3WUayAuqc21OJsr5kFKRjCrYLkUKOHGI+5
Q0zNuz244bsHJHLHQjmAJBaVoHM8eDiNICM5F4AkUjdunklFrNS5Fihj7Z8Jkv/VMsvm9J9PrnX8
Hv5Vvigf/P3Qsr9ork7z8GO1q/+yLWaozQBmIUlYjE1QKfzv0DK/IIDDDI0rET/VoqX7fXJtfGGY
Y4L9xLOITP5fHlp/MbmWZNK5pknOqKfT0/zx0Ip565soa81LuCE0MhY6sRCBgm2lxzzm4TV8vZ8d
pgDw+gzif4tpvuvKYB1GRXhhdonzkkZLaDerJ63+ljiZrl8PesPeOOmnirD1vvDOednOx9DssvhQ
t5NxT7SXsA56oymx8jzRnvPADI7pZGvkcadpot/FjpfJE8dV1rx5RWgPl8qsgMxWpHn1iM3fA4hl
67KIO+K/pNuhAV/uae/zym7rqT3IzECVRAZ2Om+CZfQ+SwdFtFNH2slYRvOqrgn6K8CAbqKRGCBV
q3bTaVN8stoJ5XcwV90qITXmpWuKyFvJOhjmHX6H2Wf22V1HhvWCu+0bZK63xCZLHeFL7le29V61
+bvtlUTx9Hktv5MNAiUQDlkdDodi1qxtm4oOm2lor3pDi2N/SMHA0xTTicLne9JFDPEzHYK3Mbb7
fWMWxiESQXSBcSHfp7pyrhiAj5RfVb2Tyw5Q9bzWeVrQaLsMAejF4Hv1pGZHTbW2mddCww7Wbpuf
3M7Duh0o53KyrPmQSoYYsUEyjvSinRPX+UqFBqOKyU2Y0TOcdop0XbneO/p4sXP7eZ/p3tmkytpN
wQBusMnTVRgo2kU5PkuyYtbpMEOct61dqXtEcLej30ZquErNsSXriGGAly1ideAemwTm+5kVe3rH
CsS8xdVVvCeaJNGyjounpCe2B6o7iTt98gPC/N+pZf1jB3aPxxTsBufTZybh/xIDl4/9PLNQuODt
Qku3GKj+NG02v9D0/Ci/lgTen6Nm/Qu1Ff52HY0Lh5P7y4GFUIxjjDoLlZir/Ut5C7XBn6osSB+4
m5l2QzJ2+Vb+dGAJrn+7RuNyXeiVlJfNZwra1MUakWiMPclHG8e+p95wqre6Jz2sJAYfke4dtjkA
EM7r1PPGV11IUly+rSvo7UDus3UnnSut1WtfJF22KpG8MwrxegKlpmhrVHa3iqrwChcAhkYM6n4S
lOcG6LxY1CuWN3yXlSg3Udn4HfAzIvfi0ygJpgUdcylQhiqttNZlZM5XEQ6JNUO0jKGX+i5KpACq
Uwuaczvn6bSj0H0Vo76NhlZHlxHuHafFzpFS4qXLwLwevqKAeMiwEvhJqt+ZVvsccgHtcKK6O1hf
9jkkDGBDUkm7Yv6tNvoUvjhMKXeNhXXT9dQNc5JzKfG0RLNxp+nQbFgU3oyGdsw161225LgroqPI
rZfGhIQHlN/oGifltfzX3j7X1HOHPqccF7xrGj6Xjf3sJa/mAMZNmm+N570pozmrOX6yyvEtlW6+
pmSe1ziEr5GoMHO1hn0ewT9IWrJeZ9GF2BfiO8ZDV3SaV7NZBwucjYAwgwkUWe/5IdGRyFn6Il/Q
5PWSKHeql+mzJXDAot45JZEd7hhr29s6zHCKdhoWofEBz9TRGOgpPac9umWf0Brm52qSBOimNam6
VWHspnbgeEvKtYq7CGRr5u5SJ1LrRGMpa/cBqKeOIEY946vOZIDuHB4D16Hq6q5trTtrRPr7VFj1
TsmCHtZwITimBwNZzAo6AimJw8wGVVOHXFhoJwxcnLxogT+U/YmW5oqEQgr7Vr0mQt3avXU9hNoh
TBz4xUaykwkJxS1OEX0sVulsP7SMDrU8fGzK9p1cFeGnM0plq8ML0tdetHW7+blIYLDSlB8Dp3oS
HWPzrBkehEdYEx+l1M9EvTH79G4SxrQh3gjDmV5+5A0csrisLuXknVOJR7udRmPllgPAiX7YjO5Y
nmFboJ1KlEvWVUx0W+rth7ZDBmKq8aUNgHgwIQzWpuIWNtPkqUvXcAUezJZhg+vFzoZ3bS0xFPlu
izgc8W6xYq9R7UfdCIB3AWmthkuJNGSdJ8wMUVnecA1Em6moZ9gj+VVcGAVpzqPNntdUPj67JdDu
JWXlvjxrdxJE7vSRatxpIlS3pdNszGmE20xOnSvLR812PhDyIWZy5Ieata9e411oQ3ZVTdOdQVg8
MisRbewJ+ceU17dR17xkktUEuYa0GUcJDNNXOn0az16yckF0K3f6MBr1LRTdaSjbm6wSl6T749Mp
2vWcjpem14++rrEMQOqMO6FLFxxm1PuqbT8qATUoGwdjnY3OS0wUBUUbXuhSpOi2xnoBz9rHljEq
CwPhws2Uz5y6yOsn0pj7zH5rWQaudHicaw7kEwTKkdjSrttGc39sAxM0rQpv7Wh8SWKYmmDW5bat
GxQ9IQbkRtZ7m1ycOopxIkTjXWuxUBnBJmYjPO86RcpeFJbipSt5JVz7MkPSvynH4KrM4KzKLhh9
R4R37K4I6/TuvACX0gi/xS6WQmDKboOqugpDvd6GrZs9KxDTsMX7C4GblO5uebGt5Ik+ngTWfki3
HKvSD43odSyQu3YSVsVQHDnQbydZ9vuajJg1F8ANqw1jFS8RcIwBd5EWIx1rTCRpNulIbnGMAlv6
aZ1dNFF/E1uyoNul9QbsShKs0jd4Dfls399ZduLu56J7bWB0r7xKsbEsjAjyai3QwYkP4KrcF5GK
d64HkmkqX22Td7vOMFvI3BVE9CGMgBhYXGlM5VfMCJ9prwO/dSdcY9Nok6PKPDqCH7AuObOtqtCg
7Gi4w9vytfPip7LiQRoC3FxtCPyFX/mK6w4qvUmCajtq4RbdJz9T+MgH0xzoRSWh5pEEuYtIjp9S
/0Cc383AnYiy3i35wTQJ4mcrJKlx4nFzF7dMwr9zsz6+qMQ8MH1PLidhlowjHFyS2jCsRGo/UAjv
FCFyVmldJ2H1PtJeU+clz4iYYyZ0UF7trrhA71rjEGBs5hILCWpoD9Pq0GYV8YyT0W1S1MrPBB5k
h2auH8iRrdfM45/EJM/Uu9+HOsNgmDxw2Wun2EbwzP1/aOLwTD16783pHkzlgO8OX2HWlcwiJAYY
CyhJgW+07CUOfrVgrBznLSYlYY0RNfTrsoLEUrq3epDXGwswMaHbY7GpKoYdfdYFB01NL7bgYWij
3thi9L8fC1ZzbiCOcRi+qMRZhynLtTGpdmVd8nmnugYyo7PW0kK0dNYbkHeJoT7+KjX2bEltX2ud
/ViiaAmqbNzPofmRaOi1zZ5JsGGoaOOOBeBxJ2P1ajfpSiPWbUPwVQuPYPJW9ax/tZv+ypMYL+eK
X6wSnNrRxKo6caYBjknyohXGZRpDKW/jIPHrvjrFfcaPulW7aZZYkE0wx52W7pOQ2jt28SCjhsQM
aixIlURlG9tzyS7EewpNVm175lp+mff9uiS8skxJqJmE/ZSjUVqBxLX8vBb3VPAPyvOYFseeXw7Z
RdfoFj5Yt/XDpmQzKKO71nbqDUrhQxeyS80170EWHcZRbCBm0y5hE4IFrc37ZKLQG0ORrY20OAgq
p2X8pBFr2LwSPnE9Gtzn/LS4QpJ9baMLnev4fUBZLyr7w9bEvQD9i9vF6f3US9HpAGowMuOtn9TJ
4yYHwWS9MdwFOd6pdRHqSG1Bz3ozWXOjnT6FeQ4Yd1SG73a2n4h8GwavOGIuKAzY2sn/Y+88liO3
1qX7KjfuHAp4M7gTFFCeVbRNM0GwHbz3ePp/bepIIqk+ZCj+qYZSR3eRVaht8stcKZWu0if7ymAG
XvUJ9pe43AU1txzbTh9DFC5SzcmtQnzZrXrp2oJfArC33OnOeD9x5mLWtFAoAZHSrzt8/7OBpJOn
Nb8OwGMQyg1FAqV+sOuSSPhcot5BIeV79xO7ay5IoZMfptoaLf2hGvjqRo1ylYVFs+JZuNDMuPML
gzh4n1Y3ZsxnZFgKgJNoYp1uiotJb4p1Y9JYZXffEuLVK4pt7+uJOUXey3fEEvbTnN2qupR7Y8uS
asnMBuCg2CM0aAeCs1dm/bFqm3UhY7GS57ZjOZQxY5rJD4ezMcgMLOVT8WPJm/3iMEQNm2WnqsUD
koJHCdpdNVTpquWUZ6UsfVHNkxk5zGLLLOaH7K2NPDU/zYgjnVVOKIec+YYEI1SWPPRgmQNGjlFa
PAd2+jXpemgUNYpEp3hhPlElXbBTajWdDhapLMWfDMxqQV3eTC0+LJ1qS0PyasBeHbL9DILLnTXu
+XhAcDQcm6nc9XElkLeDum8TZV7VoaWmV1mxmA9zGZv2qZaMgf9h4Iv1Zttc9QaI5RfB6N87qP6x
chZTZz6X/d8voeLv/XkJxddEyyL2TGR9FeTRX2q/qv2Gjo+mRikOgz6BmP/jHko2AwumAeQPdw4I
Im6P/1H7AdO/BFZtmA8yShep1n8wBVQsRgpv1H7mkza+Kw2lnyEltLK3whmsh7ZPG9qqpka21oXY
hXTOIe7C5hRZhOxp/ePQI4/ymV9CPshZztHBpMh9l4n9MCa1fgFsT1QsajV0QFPfGlPfnsY0qL5X
XZBvLLE/R5mFMz3EYLqqHInoe65I02Xb5N2ZmKP+KMlmt1YCBqArhuKZtxRBcUrDysGmxDlpygxa
vhQuQMQUNwsi3x1HEeMRMk1zM6pGf9G1kbVL+wLt2OoJVCrGXH7RerkDidOqP0qjzx4MOSu2odHC
XKqC9nlgNAvp2I59q3HGjZUwluyjoboaxWGx5yIbxmHlDaOiD2cQs/rwrWzDSD8onIyo0+rKtN8o
L8klPXSSCKKpyDbVQVs0ZyuqUJ1CZYrgoDuiH08ko5ZOW6zxxKmLk6Ac6hEbb5mNtkVccahGyTNo
I48PplQQXEUVnL8mg1rnTP8dVMFgejQp1Xtm8GKULleGYh1GprGfe3O+6cZyeQZZw6pd0LyN+wYP
QBxi8QmqIfzKkxTT3Lgsz0EbLT+IPT5w8FkXYbyXrBIOuWIOq9Hg5iJVI1umrfTzJp0hLocKPWBp
OVWe0TkpuDzY1xkD4TBet3mnMb8ZcuIjaX2vW3G2yxzlTkvJglVSja9WQCIMQiA4vVrzxo6qfNdJ
nXNXyVCEECxlL1cFj4C8DKfcVgaVNmTOV8mCvgt6C+bElJ8RRSWv6YZpM0hSOxHHrwkCT0Fc0S9U
tru5CgqcaXa7w49iPoWLYnmLw+o9BWlytMjxk4BlpqMEFkmDxZqPbbqUj0s/SQceXhI0lmiyC5vg
gTbe8a4Qx4u+nOIbiZb5y0gcTArGc2AwuOtBKGnx6Q7MVDq/nYzWC5uZhE8I5II5rPoD6z4Fhdre
mkbtajYbmOcE3ZQflTjM1TE0e6dqBaTB/g8979+1WKyOH08xjn3c/s/5a9xWv5pl8Nf/WJLJfOLz
NBTbwQqMxof09ocxQ0UAxK5BuQcsOWFD/XNJ1ozfGL4qNpKdZrNmv55l6L+xhPLXXsCLLxOQf7Ak
C+HvtS+DSQqUTZZ3YgIKRg8hHL4avzZcH1pEyvBMdaTbqvQKfMZgZvt58xpMnuEqCtGRR5vOOH6p
t6+RK6XsVNk8ncLU2jEEcNYIPUmztvLpYtKwmgGVndvNglDhm1JF9kRBXLxRqSmEhdI55oXVWE7L
yDOoL/qGxtFV3nN7uhDYvMnX234OPZkE/uK3BK7LapSrbRrRFNBIuryZmP5uuNyo/giUetNEeu23
5UjHllnhMRzMywQTBlhjjCh9GTabmPiP6odNmUj0DVP9flM0S/QzZ5i71hQc+cnKxp/o42jQ1QRh
nv/y0VVzqGN6Lms3HZ0myaqqp/qqw5BFVHVZL9x8WEOjB61SDtEUEbZCR6LpANfoUG9ofT+Ovam4
Vied2BW+GKl2WzvtTZMux7AYvphGXpAMrDn0xvqRQ7Uf6vUxAiepQP3cKWC7vXAyD1RjukRxbepT
Sipc0FlkCi+Wct43hvxYJQlA/MxiNyjrcxObyZZwPAKV/DUy0/kQVdRh6AHkADtT8AmWIORpS55L
kykLtU9UvGn5upsmY4N1eTnQnHkYAmkz0ZLZSXG4yTOj8WA4cO+vSDnGFzkjCj/QdKAoUbVZlmZH
Pet1ZNTZJimMwqNEYdfQzOqGrbIr2qkBr57flE13iDQMZdy9zW/zkLarGe1wJavmeqLqFOZO7MMr
wqlCQC2HBzBV9cWoF7GrgPF3U6Y3qBqIlmFi3Bg6dwVtotK0RYpBaHBwCQc6g5W5u6jNAZXCaXZD
Os2cs+Ufutl/J/Vgb5rMzA+aAyHUjVIjvqoKBFll0mNjpcBHoBhR2jsM3jbk3b5x6d0tpnTqFOuu
Y+qToZ+49tz4QWpzu1SOS25fDUWxpkjXS5rAbxVplZvkHcdM3dhjp3qgGCDDFNa2lYd7dnogBkbo
kdt6wuRwUcog9uJm2lNweLnwjw5KcZHbEYcnBWux9Ky2hESlaVfqy1ELpK1jfZmCp9Je9vAm7LVB
z01jGXdcl7mITF8HBnt9R2unnqdHQ50vw4CbhKbS3oku+ZiF6qPmmA6GKOXo6EW4GvUz+yxlLNEq
WnBQGku9BlB0a0/tnU6N7BTSB2ZExLqHSvTUzEzTh/jAuWWHl4kIy6B8qaTo1rbzO6kSLKtxbYXV
T9Wa9rUj7aeJOh7ckHtGjJvM5LaPcdbTSqXf6b3eXetjsuf3OxiJ/KT1UHBmjd5Fp2wYNWgVrAh9
SreTlKuPJUech9YuCdFN8xygAQfp9RRY9LpMmYK3OqDJJO4ir5ZSagfoRYI8McPgUiXZG/laHIfK
iE+9vnAuypoBxGTPMINvGD5XABZOB9qwDuyvC73WwJbML1Krmv7QmqeAbgiu80AhO91peZjRn4a5
zw6cbULu58Z1J4O31uqxpquZMlhFSQ5DOd/kVTq6dPFU7lC14Tp1dASjm4RPnnsfeq41ceW0tcy8
CKqIN3upKOw2y686UGTXrOeIr5zDZ2TcyrRd8D7OYEvm8JjkykJfSHCVCqlscpjBJJ6dqDCWJPlG
IFE0rXriWI6HJdkOSffTasZzZlAiGAaw/7Uxe1QT1FDTeipnigbtVnV1BX04GBNu622BXVUccQLD
mzlvJ7Dcklr9npvdtKlqfKbF8DhgOTf0jprduH9qO31dNXzM6UhG2rpXivaL0Rf3hlISFJySmymb
j4Uzbrta4Qs+JvdhNO/ika/oRPUBZ/wwp8VDzszrrlvORms+TpFxKhN9ZevD/bg0K3ip+9hahvWg
OywWcrPi0/ALM31CE+E8lJjMBgxs9Rm6QmfHu7CduOlqwM0Tw7whU8Q7mMHlCAvrth7ifadBIKDa
AZhddKgDYJhSXFzGFDdvyyS8N7hSu5rcbA1BK9VnHNLI1gW/fR5ZR5q+t00a7il9fnS4GQd0UFR2
euYWt02RTlryU26ups+SzZF8jLd9Bp+DBqVnuUv3vNdejAjn0q6KfD5ftUgKq0SH9iJL28YwnwK5
2g3IBVSu3wBN9bBhLuuWyICbx9GlrE8/A5n8FAirJ1mHUKcu8QUk100d1Ld50eEjLsotdVv1loaX
+cj1kjiFeuyb+MkMyoPcIIapatmti1xGx9P18VJWoV7ZTaihUzYPhRyFa0m2zzLWdfw3dS1SscRH
oylfk9n4FmdoJiDqpYexMnlecEH5FLEHrqbH2XcKwSyGD3lkeuOsXtAe/w8p9hxBsLcS7OcUwpz1
bz0GSmooeV4E0ilJ7sz0S+p81Y1/Gvp69xLvRqwzT7GZ9ryEzD3EtM59dQZo/+qY+YtgGWa9V6c1
cZISv4Yp44BBHjY0cb1+dVpT1X4me4vGy8CFxZGC2+M03cJ7+/hlSH/+7WVEOElXNVMV1sC3LxOW
yaxZ6RCe+3zx6wRnlMr3sL7r9csRIddsG2AA/8o6v1s5dT7ED64SZfZc/OIGIf7WHzcIrgnoNYqC
iVtWeX45X/95g8B0IJvQy6lnIHQo/ugPC6eN5ckBjIRPiQAwINA/RR3N/o3EG+4CIrnI++BB/5Go
Y799XPBc4bgShlBZU1F0cES+fVyYUieN3qvz2Wb2cmklc34dK5X1AOZR3c9jmj7OSmetbdpzL0bu
zi6mwMhTjGH5YjljdxPJZcbJUEGIoFret6Su8QvwLmyx8ikT0fVBU4KjYTCCxw7D3x/wwHvUOtu+
jOdgK9nOflIXfFNdBJqv0tJvcSAXHDBJxcsza2lTtdNTHkXhvqyjxdWlLvHUQibJa9sVR8v5i6PW
q0iIHUFu7TmI2+gt0ngoUjrWmpK+sol2O0AC8jnV+tLtY3BXjgniNIqNLV8jEduBp+zK1P4x9U2S
H9WsjDotySx8yxL+tJLqMZrCwF+CYRWn1T4BSiEGhYy7FwfOM1/Iy1AJH+R03se91qz1qrgyylr2
GXRJm84Ml/0S9toeuJjlZ1p2UMAh72J2Ng+HkL5Js0L3B1UNtqaCl4NhZbqv82rEkjFcLQ04hSqj
xghsxELeBB9RymBKDZ1ToqHiDDPvjtQjf8UkpIEJKNRbE23zZmusaIpr972aPOHdn2hU6xgG2mbi
K9A+orBeuhXWssiXRmAgmcCCBKayTXSJmQjAkAlySP6CEBEwkUFgRSb4IlIKaIRNgW1KwEdgBK1S
aCSmZl3lVqi56TRtVHglajJ2zlEXEJMGmgmkjMsSuokcttYqw09RwT0hQUxOCBJKIJAoprCXZAKT
0rYGzV5FfmghqBgGKBWSjjdDhE20JV0GugvbCYiKswWBpYDEMkBkSSCzcIncRALVsghoixmYl3OQ
rBdoLvkSM2mF7+LoyOeLIL7MlVdBgCFNj5QIE8YMGFwsUGJytcHewQbuwI+ZLMoC4ckAxmQ+FlT4
XQRspnuhItSpgQuGBbn/ptviBKMZnGuDcjo6I/Khb5FOOyp4/AG0zVm5B2+mkd1spmPI5Hr3sgb9
q+torF0fLMb46i+eux+/WI/FX/xzPUYvpwHANOlEEmEb/ujVeoyGgpUdJhc4r9eKjvUbtnkgkDjm
qWlB0vlrPbZ+g3yk4HVVWLGxkP0jS/3fFB22AdW2QTtYeGHVFyvYqzNC2499nZvziLfmsqFbb2Yi
++pN+cUphJ/09fHAIETEVsS6L4BlsBHf6TlEA1kCrb4/M9TmlP1FkukFuGr1rRJwPji1iv/x6zEb
+OQVxU/06ndSJ7uJOTL254S5IZfqsHNcGOxqDh24bK/GprT3Qwd/xUyNwG3NtZmQ1UXADgy/yzsu
JGFhPk2qo+5MLSKcW1e6p7Sl5mp2dDRK4so2qOmqkb8PUvrTmaQHUdlRKqrOnE2njxHJdVXM5DU1
NbL9huMsnVtxuNVTc9PSyrg2DEuDihCXm2CeilU8xYnLQAPoLrlPl9ARZk2Azn18bQ/DATQcMOIY
E0cd8CklMQ1zNtL22Hn6DJjJHK8CoEpc0bRtWSqXQ8Sp3QZmJPfc+pLwQLEDVDPpriFI6g7F07Bo
l5MVbQdINL7StRu2hY1e2Xu2p8mNzHJco6y1cKzmixKA2o3VkXnAT4bJ/4Y90dyaVNgngCIZHUdS
d8Ucnf/R50z9zhlV7R3aHpDGhZBCy40BAa7+Cqn5CHb5QtKpP7Di3ZTiOHaCkySnp3kx75WMAa8w
0LuMpNYNzZdg8b4D8TX80dAvpkrfB6rmDWl17KhV6Pt5N2vxpbzUqyLg0jPNx3Gejr3dlF635PIq
NMZDO8j3NeuyrpciOL3cGbhH3CCfqd7ti8si7cAHYZxd0r0M8tSdKhOmdEdYu54YPAMVkQkCZ36b
WHf4qmmaknCHqHnV7/p+7EhJqiTv43o+wm6mzg8DX5Z/Z4h01iP7uu0bxVXwfrtR1KyVKt8HWXzZ
F9LNOBSUQ/KxlCJIGTsugOPvVoSnWDGTKzUcfafP8UNOisdFxdOT+QoWMmdrBvTmqG/GZljLGIE7
7ke5IntlWd5A+77Mg7pejRNp0S5Lh+tpjq6JyO2asYe8bT+A0FtNltHcVrJEJXvc/Cw0QMWBQwQU
h+AScC0EwEQJ0Q+ZHowC62GtKwmjb2en5oKmqYHMlkZXCcLLKB4udINxu5FvJtnwM6tY9VNwaFsq
go3BbZcOUop04p7iqaO0Y6G4mu2wwxXElEHTA6DP2he9YSPjG0KsHDIlvZLzNh1BbzVZsa7iEKrH
LO3Tdrkl4EHhctad4qa8SQbC7AnXiz7AYd7b6rPTJ8+JZV+UuGDwkwApG4GYE+cec8zYg719WWb+
3fQEWOLDTa97/h/3ufn63Dyzyb2zOIu//MfGxyiDLUUXNwbnP4GxPzc+mYypKjsm+w4YSTFC/uMi
Yvwm5tFMfTHIWBoBjL82PjKmpEJJ43OBESPhf3QRebtJsB3B5RD96pyTNcgr7y/HWqRIY4c6eYrw
L7enaXp89bb8YtvTXzoO3gxLoH8Q/DBgFbHvYQ55uw31Qat3AePmU78YvqpWP+dKP2VBcm003U/6
abwGLKWX60TRFanYwb7bNnXi91ZVuaZkcvobtU1hNVuplW+TPlrrbfVdymDXqM6xN5oJIB0i4BJl
Z2VQjBRaX1dr55Ce7ZHaMBDvvIkrI6rzea2V8wL/XzZ2k5BLRiBC2ouCQl7WwiKKrFKrWYDrFalF
5xxPszXySyKEGCfVv/VCmkGrDld6GtUHRQg3oWKfrcqS/AxNh0Sc5lOahGFFCD7JNCpsfohAipCD
5qY4UH/zlKITGcRLHSEcjUJCytCSYOstXoO6FKAyaahNdsR5fkF/koQQpaBI5al07oRE1eYLGGg6
x0O4/RYOQwk1S6udpxR1q6j6fSfkLgPda0rtfSKEsHABCIEyVlvWc6AMo4tzZhs6kten8XMnxLRW
0B5Q17IwOUuobfhGvShQH2n0Bu9ubYGSHXUhzzXqcJEBUjbR7ZoKK6cQ8krd+ZIIaW9Js8tGiH0t
ql+H+lfVqoj9J3td0m87IRCqQirUFv0mFuJhJGTEHj1xFsKiISTGAK1RFqJjifrYo0KOqJF8FkzL
CwZKQGD21Cav6KO/1+lyH1EyTRRNNtkzk57rSEidvfA16MNFhAZaQikJp+Q+GrAY56ik2TAeIzW7
MYV8Shz3XkVPZfR8zy1kXaKz2ouxlqbmyRQCbNM5G0lrH0t+eWhs00aC+pKi2VJwvGrQcLV0OlZj
ArmpDgkmz3iGuhfJl1LwEA2YbwHWy+QxDAR8ue2SNR5pHpv654x+bHeJr6Mn9438KKEvtxYg6xTF
meaqlWxkXxehRAtJmuqiY5qIUl8hV+uSdRtxH64rnOIcrHDf5QAZFGyHkpC77cUyLhg0FPs4NhdP
qhRCBsjjqOS9kMslteHGJyT0JRlx2ycHqUdcV4XMbuBZcxm/XU9Cgu+FGA97D4O5qbUM8ZDqVT0O
/BH1PuyQ8WP0fEQXqj2ExI97f/CjF91/eJkB5C/zgHyWgtlN4iE+TWJgUHPM8BzeCnzbVYj3/2Ww
UEaejq8FB6Yk+92it/QaM4oobSEYYCo7kHyieH1W3a5uDl03nSu9YtJJjt1VNAGqUut2yyQr8cO4
PwLXZRNOqwIfiAHDc3H8ZVLZMvWs8suuLglxx9nZIi1PJYLUUmzBbxwE1Tdjmb80gfZspfWW9Y2M
k5KvHAXpcM6kY5C+mPSZUKamQfKIdrAbLCwSX1UryHChF9fjAP4bmtFZp3aalWXVJLqH7tR7ZVUc
rNpiQVT4oa3xqujx7sHaggY278M62OI58xOo2hV6JQCdTWREF3Im36f0sOCZ2Y+gjDbFlAJ6CwwI
Gt1qtAPzoHT4fAI9tr5iVVFXywLlhEDZmN+mSk4dV6xtNIteFW2pbVLmCxOMOG4uFjs9aSoTYKe9
UmqzhSXM3CcnlbWMhseSt1PxIfmhZja7bB7uGDnf5mrOWRfGiNdS9+7PY5c7rDn9fpTN8qnQO4n1
V/oJkBQ0ag+OjZfTvaYy8WxrGXeDObUGhifRsKGfe96w9Ef3Qc0rqH12W0BlhVIkO/se2Nge5Oqp
oM91lUFmgKlC9FQvrVujLpFa9YQZYK620Ez0IKDAsb41g/nWLozlYQkKyMg9cEuMkYyKR0xBjJU2
lTwUm3KuSxpzcP00g9E/NDH8s8mecaVjHYzYlZDG9IHxZzrCJKNixJvz8tEcKgip8XqyZr9vy7M8
W/u0nu/kKPGHOIW0U0V3fabe2n3tHKZ5GnYl+QWvDLJZmDypHJflRw3PmceAtX7ozUrxqhJeE6mb
9NqKe7B7gfagToRg8FtNRCwI1CZEBj+5JeJ6e30rfYGu4XzjCm0JtVTcyt/cEfMccmGYFKdOFBJM
y87gEjU27frjU4DIa/3idbj6cqHT+Nq/PwR0FnkjgpynPMsuWlO9Y1W6tPP8ieUSAMNMsgD23HaY
KqrL0m2rRlD9UATV4sBKdTQAyCY050RBf22i7WkR3mMiR5gbflC1x92Ur4C+2CdTDjmu/Xmu+8UB
5pc/OSwP8ma0FqIlv32HjLwvYyxVxYkQihvOtwJXEZXHj1/EEbf/vw5JYkZh/T5rgUFiIUK8+xwY
JFZznvbDqaKbzZVMfccEV8eFULNvUJDuB9LwIFVZeUUFL+4CeTfaI1LYDM830OSrJcm5Ry39VR9p
zk3BrtSXA1dKfA16ObKVqwlD8jI8xRJ+3MDgPVf53pg5I5HZMZZrQ8me0y6DbBvGm2Vkztkqph9R
euennfZNIs4OsrFHOqxNXPGOsiprOFBRk7psRRxtInMHofAHyKhnblaEwejem6zsYl4sIprWLOHU
H5ML2H65u0x9xLmpi73IQWhR4vBL0Cv5bT0yuXeU8GjkFZdIOokQZUd/KNniEKghA1ipX8nq2ZCt
wpsWrrCKlh0D+bnHG29YO9bFR1vKYDyNynbGsphpGOGLChJUBalXY1C96Bw9Jr5mnhX2pcfke9t0
BPpyZQLBPDwTPYm+oVlsZLPOyRFFF2opsnVtvSbE4QBnnq5z08xODmgjxVymQ221Fx8/DsQLf/E8
CLspjwP+H6Spt08dNMuy4M+6EwrYs+a0ubdUQ3Yy0a6JaERPYSsshG20UszJs+OscVlRL3hXQF5F
KaSRsL2Ai+zCkLswSvtB08kCtLlRr/te1ne5oVK0FWPHGOxBzAP0fEsyt/JGJa49u5E4j7AQyXmJ
KGPUN7Q4kCWKWuwHWCRdaCiiaXNt5su3pjSfscmCu1RKa9Xk6p1JwEuHtORpWKihRJF3NogVNaP5
AKpuNwbqdwrZU7caWQacbGsW023gYAEcGqIU2o0JT2qhRqWf1RtChBdpEt3UsXGdW87GnLsHyhx1
l3Oj7Jt1z1mQLhL0u2FlC7KZlkiejHDkAWZ7lngmsLJqj4omPSgRqPEak7YfWXChFzIJ0lT6it5s
ZDioTjGA3iRZEQ2ennbyyrbHg0WL5KhgJlQyZJ2su9UEY8Gedi2oGW2Uv9VwYArL9I2Zn7MvvBRU
MNb4o1WY67HUvciKk1VcUGfpxFdphW1nthe/bGffzGAPV2ICYobcS/gyDpJzNdbdT5jFAXlNCM99
su66Pl2ZIL1VsvJMu45mq21ireZTUsLcp2gE9wIn1LQns60EfqqM92XZ0TsQX4ogShhRuphKBxxF
HpWeW1vJHrFKkFqkkmynI+iRdKTwaVx3bO9wlyk+w4XpZam0SUb7sCQE2R0AHaOCk6gFJO0utIwm
0LaN0b6E1boNiw4ja30sbCAjXZdJ56waq+2cWXs9HA80TNa0wwCqg+OmrEYZWFaF/NVyS8hIRGg0
b+DCJ511aRq+lULmtk8Y7815XerbwBruEWnAm8kXptE0/hToxyQaCaFh2z/06mCtWkNRVhaouc04
LF7FuWFbzlSVzCYOgoFTiFV2hIUAbQxBo3yytX3yTRUozTc7aOTM0PDSHhUVTbG9yEnGT4PweZzT
5gIc7e/o0v9aKijGyO93ilcrg4BZvX09uAhFzspQlj9gaA/TNYD6InwY9e3Hi5DQ1v/2SlRuMO2k
4MLSDbEzvtKPxxaOdSIPNPYR6vWreGpXcaDeGpDRd1Ep8cxNw6GqYkBLiqxc2DVOWTMpISEkkP1G
/l2K9KSf2OevpkLDW6f1X6S4PJeydZNxfOPWs+pa9WbCRuIVXbjOu/ipSPR7Kcqq67DHHGVEEeVg
Ri/cSy4HC39WSOhwxNsUnWbd4+24qZbMQ0nZ91q3izUVkMO8MyrnPKbhoWHbtqT0kKoiMigBcbRX
lMDe51VDk0ywGyvFTTJCJ52RPy/ybKyyMXysJ6e5V8MAQESrhZ+8q2/1lt83+tdv6ruxb2ritmsC
ezrZ01O0fJ3t3x0B//Xx+Ozff7dxyFLGGTlM51Ns30DOh9tz98lj8fFT8eJbffVU5GaeyqkazidD
vYypVeRtkqN59fGLiHfh/UMO3RVUCeZSUhnvHr3JarGz6PwWjrpSu2/dmHMmuYsn65NPQ337jL/I
XxpQJoWtFmwTJ9O3z/icxJD5lko9cYz5xqbm3WbrwJN8KIOre7dw73fmajh+vY5X0ZfJf8Z/85Vv
dLvVdh//wurbjMfvz8Wrr/XLD/rqbXWG2KmckGWkW1ODtIKMedNv8qto7fiCpr1WNrzPa2XFrNyN
fMeroAadim8f/xTGr36K10/nOw9LFrSZrYK+Pz1MO9W33G7tXFouIys38jb3xupoevnGOUXraVvc
GNtb4Cybacu65y6bkrolD+nMczzp2G+LTXuOEO7d0PvC5P8kr+aNsXN25WHcNnf5+ubjH/39tOvl
BP36R393gpbUNiYCHfNcujhA1+2Pal3dKl69SjzSXV7sF+t8X24uvx39fkeIbVol+8R19skJ9uIq
8M3U/R6svnz8U4lK2188yH+uoe+h1nFcDo1l8lNFO8eNVss23wS3BaMVOh1cLKNus8IruSEDtlWf
ENL8j19fPL4ffY/erTYsNdLcVpjI5aX0rXE8LFJ6GnrCdR+/jlhVPnqdd6uOTfKTTF82nzhT0/z6
TZ62o/l1hnVMtkeq1h+/2q/XuD9Xh/eXSQn3nWbUSX+KyNDOwXUVXv3/vcC7O582UYFi5lygUuOg
JuiAzmfT4E8+mJfI16uvu5RXdmHNfNHK6gTWZl2pD0tvf/KpfPY+vVvcWoXC2sFKutMkPhV6+7CJ
rj5+pz77Pd49YD182r5o8/k0AhuIzVOeTitmwB+/yCdPl/VuVTKDUJoR59gNADDoTuGnWUfSrV9R
TLtKRvU0AKz/+CV/+XsZZPfgadETJsYvr88+eMe0oIq7/qTnP5tknWoRIt/m49f45cfz6jXefWky
KgekOtKnk5Ho6PdXef6JqvDZC7xbEpc0n7SEqsaTzKKN/zjVsk/eppf98aMvvthQXj3HUczQJ8h4
jrkbuIC59sM2veCKsNoTH/bxQrr57zSl/3rAEaGiD9ca8Vu/eknYe5rSqRF71APCcMGqehHy2u74
TFpgN7iXtF3wB67h5ysicleSe935Yle/fKwvtT23drC7/ty522IVbT778X65kb8+urx/cuJmlJWA
L51yFhu55EIw1XeFsnLTje7dF+6eBonDT6IjIBvu5gNEgU9WL1UsTx99KO8+90Fqzah2Zs4S3uBR
d7m4quk6h8y7dk7mUdv03qO6DtwCxXbdbKqNvZI+WaE/+xGsd7ciaeqhHYxVd5IOpTt5KJvJd2NN
y8Sh/zFtKz8/WhtpI/0MH7XVtEnPMAd+fPzterl4ffAuWO+ek3TQcr0teDSb9bSuXcWNxalul65u
hx3NrZAZ3OVEyc69vKbXeV1trMvebbzej3ajGz1ln6yULxezv/08f33djXdviS05zIYKlpTa1zfm
xsy8aU3C6RgfFPdbuIM5vbJ31RZR7wjb5M63OR0UfrdJ1zexJw4J/zkc/Du6F6CuPyVe75lB/e/z
+dNz/uP//vcL/9H/amgv/tqfQ3ub9mFVJS5KwI/7L4vQH0N75vnYPHCdGdBhfzey/TG013+jcQ/x
lkk/I/oXY/F/IuGa9huDHNXEOCxMa+KP/kH+8O3uJG4tIhvJxYiruSGKTN8ugZMM2bNpiv60AMwS
5kbkQDe2889Wd1ksVn89sy8vZOANoLkI4VuVRWj+7VqLBGAmenWSe8O5Y+QN2z6nimHZwsAGLaV1
Ra/vSGIsN4mK/sFtTr9PbCt8rMrE3jfh7BwUSySP6ZmcLgFKXGtzOZSeOYfg/Yc0abWnYapN+3IM
6mFAV0I0G3Rw82YqZecxyTDGxVVVqj4kkB6RTyJwRbtCAP0hnR3fwPYpe23xzcj08WTpVXYGC10h
ZFdphoIUTNoqG3pXyoQdwIrHUjvLLzaBIUvOjXAO5BWSTeRcaor8w8BbUNThmpDzrcVcvsB7YAgT
girzW1DG4Tv4dZzcN6Z8F8xzzeSXxt4WG0M21z8j4Pt4wE4KNodeG24yodGNepM8Win5bXHBu5Cs
qjnVrWHusxjHrEOB8rKo7FiSpP3Uk7bY6kEEnLerWSYHaLtxJmGcGGlR65xTW7QAtlV78GhMUzdd
Yd3NivSAnlJ7iIgI+10XqhY2NxQWGtCJpdsydSO6+Cc6da2kZvP/2Duv5TaWLIv+yv2BYpQ3LxMx
8KC3ci8VEEmV976+flbSSDSQujVgxGAiGv3QcUWyAGRVZp48Z5+1b0q9hqJt2ql/WXmthNZCKedO
L/df9JizCiZWZBCrCJ6JLpXDLKQ+UIB2PPQlRXl0Ivvtdq6KZfjNIwZzQaafFpdLZCJv8lnFgI+e
h1TxtJrjWw+F6AqZ3UQimMCteeWyW8+8OYX8OfL2iXGoL7S5unKnT/btv/0cxruwgjwAIlDHNJBq
6iBIXz/qFDe6xqv87NRVvUP8NvppRBWWJLVOGcqKnHnRukKOZ5Y4ptjyiWeV2LJyj8yoSKaDRXQK
+5OK1fit7jNnUakw/+o6X7j2+M0yqE+FLoQfd+w/F3GO50RZDFOrCrVZT0YcdRwiDgNv5UFzlp2S
0nA2TguA62ilndWoYcygqktKVMqkqEvB3sXKJUlXUIFmmaaT/8c7u+u8Y9VFJ41DrDJr6XVLkrCa
MYlPu97RloVHNpec1o3XZStFS06a3sZWz86XcsSDZjkFZRQ5/BdH89eLyFPKS0b7ile7ZmoPlPsX
AZszAkbIE7c8ldskXLIQ4MddAinFl2duZAGak+JfFe22R2Ev3vPN3ZR6mBMt9PjTwtNwr6KjsfGy
2VhZKz1p0Ma5kNRMxA8WMkEjhjgDqWs4HiljT2wJd9HA/iIHVIXbSvqBPcwiLwrqQOaF7I63hld8
SzrqJAXs7P+wQp8aejgZ/H5PvvI3Vb3ZoqPjr563ZNH3r+ANZqssF45lckuft2QoLUhL2Hf5CVnD
F3jjB7NnUtckC2wSzQ+0gF+UFtWmovuor3swf/ibLflNvMleqQN2ty2FBx2oMHLy1wuIKt48j4sY
w1oLCJpOnUzRu0/0qGPeWUhnuY+kuULWFcVqT7Ubx8gBYxQbawB0PjZ1bNFf6FyjTY2nqVLQQ6I5
+aTyRgif2sqOm4VZu3M8WlZdx/9jJDvp0KWRFv9aGfXURLBAv7YP7aLY+BaUtbq5t6AYdo42ryXE
QYOSnxS9fmvS38/OHFDUzCKmYdKswrxcwdw6qmh3zlRjMaq4YlI7ndBwdGyq2Y2FRr1TKbsPpR4s
4Udu4lJewEf44sutsbBct6F3HxFHSQV5Cp4VUYZZHRo9ai3bzY9qldZqLZxHfnjltlAhe4By8zbv
L1KM1ukoyhedmcirhA93hN83yhW7Q7KUQrKREuvM0eI7fJjy5aBS+QwAVtHl7l6XcfYjzpt+Jqed
REE0PIl0/AgDwMLYGBEG+LllTK0+G6io2XPMLw59o6aBvotvaqOUoP+ms8bOLnwcOScpLVEg6L0J
ldcTJ1WvC79ZqnV/gTCdXVL0NdNKuJRHG0ck0Wevphe9j9ZLt52vYahckmxj53IphGK8w65gatdj
EnyN0mLWxQmN6Dbaai0IjgGmHoWF/KOqRnOFPE+fqUEzzLHdIohytYum9j/7IZ/fwzQVlj6oeTPX
V41Jp3Oeavo8qZr7LIzWlNFmHfA+PUDmM9SKOZUD3kfuKzJjTjrJUv+LS29ZX+LNm9nwbkatWXoe
mbMirQdwm44x60L+Lia8mClJpC+TrDnLMpvWYpf7XgHaVCBCEgB9VZrguA6D4zJwgrWE8nFqgOeb
6Sp1Z6ca1GkiaTWY1XzpatkpKOtjCrfWGlEV+sMqOJXD7GsRFsGiiKk9N0E56yGYmh0flNIdOfgY
1KIin6tqNc2NThCooWd7zbpK85tGapdZlZ74WbbQzd6hJhhUIOFaZ66bRA5mjM7IltsvguBWtSrI
0H7ZBTkBTAp+NjWFUIdvNVjnGT0D4NzaKzuKF7V8WHASbE9cKVgMsoNQMD1TjPRcbVFhGeMZlFdn
1g7tUoVePmmaEnGFP87UEUmTGWL0IyWBCy8PYm6Bdj9LuSglunyKYC2hPIt6PJHbH37UR7M+0RB9
CQm3FlXf+5Dm3cymza1vkAgV4VR4ZC6V1Fj7ClrD0dWTcqKi75/YgC2XNPJ7hJ6gXKmndgtHsglJ
wAZ4vV8fZnB0Fkmr3zUGveKNH91lWvsFE4dbcEbAMyt0EZ7WnQ9NSNNCAEpoqM2aZJraoo9tUrU8
AmxUH7H2CFM5YpSgLwoVW6h6baSo3hdag/LuBhNhgb7USwAKOk1c1H5TXJ6svhzndgOgdG6nkg7x
r0VyvNJx80RAqRljcApReWiuHDlR6qvOKSXtqOkbCgJGGvtfylFX27OozleZByI0D2k3yAQ2NBAA
0QIPKwWiaCXQonXUH+oA/xalwI7aknlkWH0wMzjJoEYzbwss4OheMPE5hlsaSfjj+S1YCwXw0KEm
8KZRakOgE8jTwci+5a6+8cNSndU2URjKuB+1AKVqfkbXg4CnygKjWtZojQfIqkNezfrAIS0Ic1VP
ywvJbY4SO/vWBt2PkYaCrhfcVAWMiJcb8bTS+kN68Q25o1PfyjdBhDVn4KLAVbG40gT+ta7RX6rh
qQsXVgqHr7Gv/hgVgLGVZ/yI2uQT7gwzaTxUBVVWN+BjgJmNsPibyL4Mn2HWx0exb53IUYygEjQt
Va21/8CqFdTaIoC0yMN4aloRsl3D8eYykFvYO+qsA6dJ10hzQgGUFpteAETDfGWlBX0f4DOWmg45
F4UlTA1YuiM6LWAg0nUdzUbD+6wK6q6NBnHmS2jI7MjpeHPOpA6YXm1EKDT2sT3TOkipnaD5Jn3e
zbGeO87tmtDabpFVKdZZ0KUnTWzhOopPtQOSpEqqldfUG9Pphjldh1eDQAhj5xFj6ccGYoTNjduA
rGy69HNGc18oRXxGWMSI7lCJCzxxVI+AigWyuIRdDCr6hgV6wfHwOEr8mjZObUWG9AZWwVIKwB+j
cF0XnXbe2vmlY2TfAwFKViz5VJchfgiEcpvq7tIdlXJqwFf2pJYtQSCXVQMLSB8Ks2MMAiNDAG+r
xbIygm4a6BWq5OacSGSRqvWnNlFWoLh8atIqD2Cj9/NIoJ85JNHzGLmkxjx+aglEtBkhjpQkZQnL
0l5DJnOmmCicybmAqsKYblKcxQvTObSgT6Mil8HOsAkKMLUUjN6S5tKjOHXMKfArj86lNIYVpp6b
Am0tVeh46lRO1qMK+BpBBaeMBxi2pSENCc79JqRPLUMonNIExCLHAgdlcUxUpoRhn6uYAaBD0RJk
Pv1tmnmfqcucVal1i8rqtjflBQitL1kEtNvLzVlN26mb5F/kzF5xZLnq6BJCrwM9hTSGHPtHKiBw
D9uFxlLvnQgfB0DhYMIKMJHyVSoY4qlkLFjr/cfk3H9SYaJw8YewO0uzZFvYzV/9DLtVcFuoP2hW
Nzj4K+SaXoTd0BTwQQNxrT8E0D/bV+wDm5YWCFnIJuHZvWxfoY9enPPhSYsUmWz+lR82u8Wr/IEt
DutCO0kWA0KiTRfL67A7SnME7HIon0GxoPdX5IPozqIhuAybeavDwpOFs7rk4rEeKs4nt245hRPt
zQzD+l4n8ZUlnNlpkpk1dY1XO6bt6M7XFSbukXBzL4Wve1AAIDFByUaa8g1iqresVIzgk6JYFy1o
ujE402ppndB2X2F1rZRYyNOSVUzbgRXIquxVCr96BB5oYZpad2Y2zaTxPBKW9CiNL1Wt/srqKuGK
kl4MkaQgIQY9Kwzt3RZr+wKPew91N8RSMjTf4LVjGGKEl1WJMKYsgK4mxlEiF/E8HNPlkGXqiZzr
Z+C1EZEq2JvQ5tmmzZFduXe50x0FqvlNJbS80PuiBYrngoFiRfBU6SuA4zn9e8qmHIiau8jm2Fx+
ClT5zuM0MaHNvZiacXzTWxKRBo4gWeysQBqfDLHnzxW+gytHJ8GYb6oQ0XXrwhfuhhrVrFoAwDJc
0OnE2qWd3IA1OEO69w3qjcDSqse9XSxrPcomDuARtInKwq48iCvGWaSi/zS6cdV0ClKCkV4T01k0
nXHStf5Sru12WtnhBawV8iJpf2xX43FX2eiQ3PxL4BvaFEZjSHwWfSqqwcLfoP5ijN1RR3M4OJ7k
R2aXJ6qiecd+5J06vu4jSTJpb2iQ3dXqqnJp/KwK71qNy7Wc+/isWLVz2JlNPsdA6i71rCvPHZa4
0PbzJEsOh0x9aDa97/X8aIQCaYb1Z/5tlWYk6fTWtjlo0eDih/U555b42OmTa/M4UyIM/ixWVI6x
M0xnfba06keiFKvQKpcmwIAp6W1vwS+eKE0xzzMk+HLUtugHqyulLZfY5n3VB2XpePTT57bBoc5y
pjUM4FmaJhdN6A+LoooWek1JGK7CfPBpOwChYgP2L8lIxoitEyF/GrSl6mVHkaEvYoeezAiWhB51
h6GPdMsvKa3g5EL75VE9GtT57cAabsmzlJ99KvSYYTkQ1UwMVC/VnDKrB/omkS7k3CkukYeyzit9
sKg1eQEFDOa66v6IvP7eJeONwpozsFxYh1baf6rM8nsdQe3Ms+wC5MBS8qMLJY/XMLGMKSf8Wd7j
yqVZ7Qz39XJho45DF6zz5cCpWRauAH24QgOog+UFnurE1jgN2woLnSCZ1Vm/0Mxh05uwxPr+m+0i
iHWGG240yaBQWg+BdJwW/tKPpHVK75UZKVMvjOlbcVcAjxeRjbdub+PYpY+HWl5/VooSvBUCWBUZ
YwvcmiMf8tagiIhcVWBN1rLjnJDkCTfkU42T+tA3C/pvyeg160DCZyJKLToNwHEHzpckFFm70gev
hU87hxtQgInZTLDRXTnAPji33Vb0wso1HRW9hdcqbAstH07Qj67xNgQgrcrE9l3HvaW1SmpWTVXe
NmV7Fvb2rAr1azD2hKZDeTxGUO50I53rEbNQ5hRf9IpD1li+Mhr3nsYQns4WPCi2ZNOK7g3FI2yS
ChqcteTclccWGl5Ah49hT2yM7n29Oems9AhXFAKICIduz0aULZDk9qqBIlEO8tKxmnOOI59lNV+7
OsrPFlRHFMasf30qodzOLjXU/tNgLM902cMlOlzhoTzJg/bUNcdrwn2aa+oLV20Oy6KF60XXbe8M
M/LqC9Ms55qkrDkStLMKT2BWYW3hGPURoNWFDTB26gDoKnL5O/InWorU5psW2PG0o6VxTavfuZIO
k9zzLpTRPnbsoZ2OIwdFc+wOZTOaEsn6U5qXsJeUAmeteUaDn3J/rsXSggrEuerYP3Dp5UCYzyqO
W1VpSxxp8LLrcKMa6vy8tuybXjiBJIaBCUJiOPM+VOMvETbn9Pe1P8KqAX4of4qbdB3W2bHvVO0E
ztRlM6rkDcofGMfMm0bJT/2eUmc43kSKity/jT6xAs+r1LgoJZdORdn5Kpnl577oj7rEJ7fUJNZU
y+1prRB8RfDcehC+NDzrdc0yrg+AyB0IKIpbDPoKW9/oUxtLXSQaNZWFNNbd1O7teSwHa7IyuFt0
yTjrM/9OR+s5G9oMz4RS2TjjeKaU9AoSLniYhCgLjorhxNWKH1YNTsSp0QwEFsvl0KczP8OYIFTP
s0S9JBfWTVp4+LRr3lIOm9F/f2hJw1ll4kmlsn6VNFPRLZ3e9IP0Ke+z6ziAPw9afJbHAeV/kA5t
hI8WzSE0hoNoiZuwuShJYswN8nQrPZUhn7ht0k8TRWv9f6FWUEWi+VV5w0LAaEFYhEsKwNl6U0HD
hFDRB0dzzpSrZPLFWLTnxZRWpamzub6sTuCtzTMKHcGxsaTXcpUt/EPDW4Un/vIhrvtPgCtUyb8P
cL9y7nufVRZ/8zO8BRMFSdYm4QZsliPci/AWTBRFT1LKIKQIfUnoPhd67QNaGnQaMLipCplf4uXn
Qq9NllojG42glBywgIn/RVYZGsW758eWTZ2AlVK0Sor7TVYZAkOYxmpIi2PtshTa9cxyy+taxUAv
VAecXnAyvw5aJT5T6yS5qhqXRmlZYYkfXWWqNOgvwUPVk0LXTkU/+byOedQHK7zXgCROa1U2j+ig
+O40XX6dDSwXmJf0547n5VNiMGvqNG52rVftSSk35ClSMmGYP54lXoHkpku9S3aAdNnQQTX3Wqyy
K0W5SWifXsUs8xjF4ylvNGtM3q69okGKoQPypH8uOIuDPpnCiaG72cRapLM/paMa3BR6l5346pAu
6tFpppJwmlMYgjOkRu6il2tnxXovlilELTQcJqsux2Q39jRo/OlI54MHRAtIAoz0kANjkxw3BZRs
h8iWmvqkzvAizrCtMPz8UG70eWR58lz12sOolGBK2p8YzZMswzxdrimDZibxVRr534xWJ0bAXYZ+
qs9eEX0Wh+l57nsAR7zgqtbZGln0cV1JFWtqet4qGqkgS2Zyr3m4IfSpeWiC85jUuL5MsAaluUMy
vIXvdgB1jfErNxourplfZZJ7qoMVt8dgpUHF5Jtod+5QnZNGbY9JvoEgqZHYFzRKkBCAEeqOp0bG
La3zflYM3XmUaN9Vrfw8dtGt5NJhl/m4vsf9mdnhTGblwgTEAz4hdeqabjR0701fkUd2zqik1FM1
Eas9wWifEKUihZsYiv8198YLXdfJW1vkDvpRAqES0RAFbmlq2kVkn2mDHGrfxWI4rK26iuaW7x1J
gHGTaUnybgbmloDXMu4lws+gsel8lQZ2UmqPNAAZJ3IbH7bQOMi/08WrJsqxZhkhTCpyd66sUAk2
7GA5GBGQMxpQKmlUL0vDaKetXaLw96LbQgUQhaHsMA9INc7xr17IMjuTGY0MMrKBNYJYdGoGMVzH
BJ/SIbfSvPwyTtOeJ1tf97ZTAUpP5OvUp+vQ1SH0ZCkFG4O2TcsxMRdzMQnR5RQih3s/4M8V4DK2
jgzjuqxdTGPTegrrZ2pZzqleQfDodINgr2vkiRWba8ku9TOrhq1L0bue5koAnLfUr9ooy6ZubRzL
kMSmTjrQ+S0ZhyWM+0NlyI4KPVbWRRZwl2oU4dqXSnHPpM5bgErvF3oXUGQqAzbTpIStA8nLG/yZ
XcTf/dhY2FnOVGea5IJEptJ3mYMm6y0YZZFk2TO2SuXMFwQzV7DMwqDwDlOdFGlju6dtgUdJ6Jic
B5xxEqctzzmlZ07K/cWgYJcDGAiswDDS/S44anJR65ihZfpy8Fwoa4K3lhfpkScIbINgsVHlGOHV
KtJSF6S2rMgvTMkpFyMQN7gyX3Ip0c7VkJ4zVj9qHAH2aT7wN0nDMUjQ4EywcIUVej8qQHGOzzS+
sIDH0XhCShEIPEi5/+yfEKmoWrLh/GH/bL5vSQ+Jv3mxf7J9kv0h/WIqmii9/kwPKWioTJnWYnJE
NqCTX/unw0/YbKEfqvyKJZJKv/ZPNmIKvfxIwYAb+edf7J9A4d/tnxatuya1WTRbdDqL/fWF+CCu
S/rhs14+q8PsCwUxY2lGmnSkAjrA+0nJYQWiheAk4pz2EZCGLKNHra70wzIzKEql1Ap4+ozjshwb
ynwRJIHOXLZdcxXbfX5SjtI0b2Ud2sOtAiSJI18H2LBxZ6PZrR3XXgRWLs8A+CybCqpQ6gzJ1Or0
my4tV3rgp9eoX5qpl+e3WCwfZU1+Uyp6PtVpYpuYXnEbD040yyqso4quW/V530Mszvz0QtYwYAx1
zAk188ilhDavO9mdJp1E/wpgc4DlBfS9emM13q2b2FCDhxQ76CEv1tSSkkmRSZd1bMfnDhCWSWLi
O0u3LOfDwbJmboCNmSdRkkvd4RwHDAjjjnZXBeYFFPJTuw4gnPjRl0DVruvMyWdSqN7nkdHP3dG7
Kdt0HjDrG2piE4KBFceIO9bhlO5KH8QARV8ZtwcoyknqHYWjc62ElJsMAe8uVfk6t0J1MnITaj+v
p7GLmRSkws3QVMBerOoLPh2ciOkmJB1NAU2Xz+1YV2CVBBeBAwxJSuiOPhwGmCFDmv+QS3Z6Mz1l
Pz1qh8xba2F1SU2vnPS48kzGEocmy4wnoRnTK5jHMwv/PIHgIuWQOqqFmyM+5dHKzspkHqSVfeao
+bCMwZ9NWhOWfFo4aJDLe7Vo5YkzWt6F1ADMGgPj1qFycVoM6o8YiKE5wcVFnvmh6pzGPoxHkvcR
3HC6nulAixZpnOaHXpSd+UmJb2Jsn3V4dk5N06GSNOCWGOkadaXssCnV0xyEBIj0kfRVgP5HaTIO
agZdmz3OU63SfDNz/1MURc20bOifVv0U3Rho6go3dlbxMMNGEJZoQLbSzb4nnrtsQJ8eYoN4odj5
D93nTOn3ywYA2DRFNTaV61Jbm3Gxzs3ksK8Nmk+1s0GJzjA4F067pDTkLPwsd+6NkUjVqo7w//Ul
66asPQAVinrs5ujcJBvcR1EkIY418mUy1Icym1cRhZdB4M3NJv4K6+U72NIM/hbaiAGTMruMmlkp
iryZnOL9xuAaunTYxhpSWhmhVeMMEeZb1rFcKLdosLRZVQ+fc40251ahE6gatQnO0PAhYDFE7iiT
JJRPu7j77jPWc1PL3WlqBsUkU/MvWpqfOETCpp0tQpxpEHW5t7UMd70E4C3FXQE8jN06ChvgDlEx
HRzIIelg3NUiH1kg70js8LhwS3Ua5Am8TKRb+CN/s8PiiKD6RonGTwqgET4fwZtuTJzOOSn7NJ7x
gWfe2HZ0wUd0VPbY+ozyZeVo34bayc8wo4mh5En9oRQN0jpLOizHcO5po+KKBsd7P48ubTM1pnmC
RSA5PbdauxZXGUvfWCWWPocv1MxCTYrXSaJehDK+ljauQ/TXV/BNMyua0vdCUcqOcXD0rDMSCGR8
OiwNXD+mcd7rL0JUHxPXkG+Rrjz1k/w/OKc+fUQhF54/0LwumvtyuLyvaOuunrcg8dPzDMTQdfa/
+6U/X+hJp3w95OiUN3dJkM6Cqi6D25q9E9kydsq/bJRl/u3Vzv3wwR4+9R+vE2+4TnPHO2gomRUA
YhxgYc/xYvOOM9yEHn8sKUiuqN2wa6pUXXivF2P0u1H48xd8HM4//84fP/zbQXhX3/r7QbAPBB0c
RbUlP7zIALweBBULMIMIwn6Ulf8fD8LLBwF4M5HTXz8EfMFfz4B1QCaDHQSXs4cXd/rV10fujgAB
oTkZkofXnj4J8lvR/98/Cc4BNCFgwfC/H15MsFdDgVm5TJ3CJHLd10F4G83/9SAgmLSEElslG/bw
IrX1ehB0RknXLFPkw/ZyTRDw3r+eE+Je/5oUJPFE0o/Wh7ffXj5gbOgLwXxKvPZzXRTL+c5jYB3Q
3YKWlpPa9gdBPVAhO/Ig7Otz8DY1/NeTQTD/xTyAtPk4Bu82SPWAmBhhhMJP9nIyiN6gHSeDw3dU
4dCh/Xh4vRsEzvn0bdD09Lj6/B9vkDyOb6MEodXeeRAcEhVksZ8G4d2yKB846F1AOOzt3rD7INAU
x/djf/xNvEisQBONhXBmL0KlLU+CYMvv+CTYB3QhMBtIXj28xM7xKmgG6muLOELf1+mg8vDuOAiE
SpiWUNF8CpXeBc0KKydx0v6uCaLXccdBsA8g+ZusCY/rothz3z4J7BtkMYV5Aa/9DBa4g4+b12Ov
3M8j7l+dJM0Duu5pnVOelse3QyFWBhwzDVsQBBj2Pdwjdj8/6DhSkLq2NdLQ4vV2UiictRyd3qXH
PXn/xkDYHe04J0gpCEsOYPxvJwOhEgl1SzP2NV4U5PLdvj3G36IKotPo/fbb82xQHkFP/3Ss2tNZ
oOx+diJdAq/S0BFGbJ8FxoHBSmHQKPfw831dFZXdFwTzgE5Azkg6eZqH15unQuRW+BmR9eNmtH8r
gvI4WXfbGmwZfwMUNL8ZBBFQOaYJMWBPJ4XQlO+4MCgHuiNzOlDMx0F4tz7IB0DCCJeUx/fawydh
973BOsCCG7wxJeGH17uDpIr7Hp33lkhE72WQ8HR3dpkOxgHsKJFyf1z9RFD4KmhkTRA5B47ce7sm
7J5X4TuyP1gyebSH17szlHqAC6NCT8m+nqGeophdngR2Bw1cDPKJx0HY8iQgDrYJmfd1TdAe784u
g4DBmy2jHbGf4qK3Bwdy7jp2bIb9ZEK3hwvjzoNA2KiTU0Eu+vggvDs4qKQURDMVS+OeLoyYEO24
RYpiJGIhAmT9cRTenp4YBH4oA3J4zDnsbdy4e2JBP5ANlebo57jx7Uap2AdYKlGiYAkVr30diqeF
a7f1wcE2ClnpbxZJngqeGQUqyL4ukkISt1v0CDzMEmkk2/xd3pVajUFJChfMPV0fnuojuzwJ5gFp
V7IHxI/PD/2rwIknQTYpxlCn3tNBeKqY7jII1gG9BY7JIvibEJqtxEY8qSDlF699fR4EKHnHSWHx
TWHI0/Xz8E23BdKOqVsw8uTHsdrTp+Kdu+7flykfhgKBK4aBDy92oNdTg1KtSqORo+/t8/D4wXaZ
GpQpxfJogex9eHHF14MAghEimIYeeV+fhN2TLfjXW9TocFj+zZMgEhHifxxBxWtvn4fd40liJAqR
P1dKcddfPQ8ctJkUNkLzfd0vBPp4x0XSOIA7ZlKJ45D1dL9fDYI4WZCIQOG3r4Og7p5tMHFZfSSv
Pg7Cu5MFAgYEfnQi7GtpQtQTdnwSmA5oHHVyzb8ZBPYIjphgW/Z1EN61qvz9Rin2CIXSA5P+4fUu
74TglZyTzbOwp3vE0zzdZaOEzUIJkvPE05Fqy3QgWU/5Rn3cQ/Z1ZdAf79EOQ0HiBakKDodgnrc/
D8BvbIq6rKF7+jxou2cbSMuTlNdV8mwPry3Pg+pQxHKc/U68COL6joukdgDSG6bRU27+/ZmC85do
WlP2toQvDLx3HARTsJtEY8BvqpZ0BeA7LlPn3ttJsXvM8CD6xxNVZG9eRUyIOBRWDFQeT8OzpwuD
vvsJWxepd1GO+72oB3quJujwjzvFng6FsFrYbU6wUSBXMMnK/mYoKFMg+GNGiHoOr309Vz0lAHbY
MzWWQDLPVO5+l4JSDkTRCu3fvkq99N3P2SQjLW63/FzPf7tKiFYRDpfU9vZ1jXy6Ozs8CaJVBMc8
YqNnAeSbpZJBMJELG6Rl93RleNrBdhgEWgSE9h2DzKdS9ru0E08CRiFQZPb2Sdg9zWBRn4TqaJi/
q+cjB5ZFyQocjliK96+Ka+wcPArxH6INQumn3fBtwonpIM7X7Jb7uju8M875+xM23WHUaDX5dx0z
IuuG0bxsPomO9/BJ2D14pE8Cw1xxs9+uiCyZFmVbtKD//jz4N4boZ4Py1A/iu4fWZBDn2zqYf/cL
zz2573/+opvmod/01W+KVuXHN3/suRH//V+vO5cfJvuLnz5P/od3evr7p6/4/s1fvdnz93r+x1Vw
X27KW0AED63RTx/00eXpv2PMnu42b3uBRIXg+d+2t1n/DBT/fPU8SO+fL/SiJ5tI89dXfd/D/e9d
PNncZeXzhV5cnGdm54tPgNhu++CERDtfe7qJNy23pHq+1ovPTgSw+/WzuKne3VKSEhQLPuDiaV1u
/plmW41IxEze+S1m9/E/p1m5dfwJDna+/jz+Z5aVPDzP13ox/mxGO19/Ud5X6baLs6nvfPFlfJ+m
z9d58cE/YrqumuR7Ft/V7y8vNP87f/R1kt+XwSZ+vtSvTy/k9LtfPh22DLpQZu986aP7csuYC5Xr
7pcOUm/LQiBU9Ttf+3gTbVnDRGvRB1y6qu63jclHTNDjrPrnv1PvPr7fNjIfMUVPNncswM/j8OJB
/IgperIpg21D8xFTVFw7z7at7kIqsvNtPblP77LbYNvqJdgmH3D98vb+7vlCv8ZdSH52v3jGZ3++
zotrf8Q0PcECYMulP2KWcun6vrwftlz+I2bq6Sbf8qCLQs3OA356327ex474hHzEFD0rNywBz5/y
xe38iCl6Hm9u77fEjqJsuPOwnMdNsi24E+31O1/8MiB0rIK7LSMjCjs7X/9qc1tyJEjrLY+79hGz
9GqT/jO5T4Otb/ARU/XxDcp0U95tXci0j5i04k1mwb23bZQ+YtaK6y+YAbdBdbvtPT5i+or3OMw2
RbNttxIF0w94mNJ/jpug+ufse1Dl277HR0xm8T1ONvX9tut/xHzm+ngjTzbl9822mEFUkD5ipHiP
abz9HT5mYotvAcRwfP64v9ZUkenf/Sv8yZzyIfOwQybhihzG1sH/kMkcVFEwZM3zILwYmA+Zy1m8
2RY9iEz37qP+J2+inUe93gB7jjfNljhc/5CpK9IsW/ZhgePZeWiu7/3NNtsmUefc/eLE+HAGn6/0
65ERGfLdr96wEmzZ4kU73QdcnARRsi0vJxpRdr78n43jd30k/2BVsPOlf09x/vOlt6VlfxZv3idr
n+mO2/7sdS5a/MZtfL8p/+t/AAAA//8=</cx:binary>
              </cx:geoCache>
            </cx:geography>
          </cx:layoutPr>
          <cx:valueColors>
            <cx:minColor>
              <a:srgbClr val="FF6600"/>
            </cx:minColor>
            <cx:maxColor>
              <a:srgbClr val="FFC000"/>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C5DA0DDF-F44B-4CC3-98D8-CF7008AFEE5C}">
          <cx:tx>
            <cx:txData>
              <cx:f>_xlchart.v5.6</cx:f>
              <cx:v>Sum of Amount</cx:v>
            </cx:txData>
          </cx:tx>
          <cx:dataId val="0"/>
          <cx:layoutPr>
            <cx:geography cultureLanguage="en-US" cultureRegion="IN" attribution="Powered by Bing">
              <cx:geoCache provider="{E9337A44-BEBE-4D9F-B70C-5C5E7DAFC167}">
                <cx:binary>3H1bc9s40vZfSeX6o4cASILY2tmqJSnJJ8mOD8lkbliKrZAgCZ4AHn/927SdrEXJWfqr6GKlzNRU
RmqoxQdodD/daPzzof3HQ7JZlx9akaTyHw/tnx9DpfJ//PGHfAg3Yi1PBH8oM5l9VycPmfgj+/6d
P2z+eCzXDU+DP7COjD8ewnWpNu3Hf/0TRgs22WX2sFY8Sz9Vm7K72cgqUfIX7+1968P6UfDU41KV
/EGhPz+664R/z8qUrz9uv4f//Hi7TtX6g7Muv63L9Qc3q1LVffywSRVX3V2Xb/78uDUa/vjhj/GX
7ij4IYHfoKpHECbGiYF126IMsefXxw9JlgYvb2sIsROL2cRAxPrx/vOXr9YC5N+t3pNy68fHciMl
/Nin/741zNYvg8f076mP52F4TAM+AUD158f7lKvN44dbtVYb+fEDl9nTcyw7Nxuewf3t00P7Yxvh
f/1z9D/gMY7+z6tJMH7m/+2tbZz/yxz4dwLP+vEQ6NMTWzdsbFvkGVw6Qh/jE0yxQS2YV69hf4dG
+wEfDzAB6rHI0YGc83RzgBVuwwImpoVM4xlje4QxrHAKL9OkxhjkqRq9hfGW/CSItySODGE3A6M0
rGIJFv3JAv1WS26f6MhmjBC6H2dYy4gYtkkRzIDXi/m9eu1He+8oEzDfK3dkyN9maSYOg7lBmMUo
pvrTi4zWNmBOkWkZhj1a29M12o/2SH4CziOJI0P432L9mJUHWdUEtl8dDwBuOWZYB7ONMSM6e4Ie
bS/q6QrtB3gkPwHgkcSRAXzLZcy7rPr9EBvohBJk2viHE8bGSOMTCzZwU7dgeb823O/RaT/KOyNM
wHlH5siQXm7Sx+yBp9nvh5qwEzR4YZSiZ3sNi3Z7UZMTrFOLEAae+Guo36XUfqx3h5gA9q7QkaHt
VEodwutmJybCxNDf8roxOjFNw0IIjwz3ZIX2o7wtPgHhbYEjQ9fbJB9WGTA4v38tD2bbNGALHpzu
4bUTOxuwlg0CsfMoeH6XUvtR3h1iAtK7QkeGNvBo63pTruXvR5vYJ4hZGGH64mkDptuWWz+xbJ3B
kre2Lfe7lNqP9u4QE9DeFToytL9mySG2aKBLKDUYWO4xwrDgqUERskYWe6oi+8Hdkp6A69bnjwxS
N0sqeYg4mYEphrUJJNiz37WzevGJrttAcRuA+mu/a7pG+9EdyU/AdyRxZAjPkg9eVkKsfBATTTGz
TPzCZbOdOAoiZsYQUGDWvoj5XartR3t3iAmA7wodGeZ3m3B9CPbL0E8QtSzdxG/krobsBWSuwMvG
+wCfrtd+tEfyE6AeSRwZzqtNvT5Ilgqst4WpTfQX673DciKgvsF0G2zke03XaD/CI/kJCI8kjgzh
y0x++HcabJLNIVxs4wSWMia2YT4HVDuJKvsEGwToUPTsg4/csHcqtx/xfYNMgH2f2JFhP4eM/UE4
MWugPy3ThFKD59fI7x7yk7YJf9DIN5uu0X6sR/ITYB5JHBnCUMvx4bLi8sPVNy7zQ3ho5gkGmhtM
tf0G/QlBNPhmQIqB7/baDf//UG0/5m8NNAH8t0SPbBYskk2aHsA7B0IU6yZiGPbobeYE8tLMRpSY
I55ssib7od4WnwDwtsCRwXo78NyHSFBCSoNgDMzYi/ke79pAdFvYRMaOczZdo/34juQnADySODKE
TyvxLUse1e9fuxBoUdsCCHfXrnECdBjRoYTsx9792my/R6X9IO+MMAHmHZkjA/pyLeXmACYaYDag
Ssxmz9Gyru/EWbA9w9sGlItub8/TNdqP8kh+AsYjiSND+Ezkm5Kvk9+/lAkUBDFsmwZ5yUCPMUbm
CZQagDcORSfDaxRkvUez/VjvjDAB7R2ZI8P7rgLiWxyk+pOeMBszA7bfN11uYmOEbDwqLnmPTvuR
3hlhAtI7MkeG9FnaHSKwsqCOG4N/DYmrH/vwlo+NhvQlsyzbHtV+TtVnP8Jb0hPQ3fr8kSF7myXr
g/AjwHqB+2xTSt5YwZC7Mpht6uPM83SN9qM7kp+A70jiyBC+2JQH8LqIeULoU6HQ84Y77Ljba5c9
FXZDlDXyuqbqsx/dLekJ2G59/tiQhfNeh2C0rRMADc7P/GC0xxnJ4XAVvAex8xjaqQq9ge2W+BRw
twSODN3lpnyA41/ubz87R0+IbjHLtl6C3x3qAwIqGzHIVxhPpnvkS0/Xaz/KI/kJMI8kjgzny3V8
gDo/qNmFKj5IOUGl/dNrT+0IQyaybDrKPk7VZz+6W9ITsN36/JEhC9T7cGQqOcwRWFjGkFQEeN9a
xugE/GYE+eVRAuqdau3Hed8gE+DeJ3ZkqC/hvNym3HQHsNwWFPlBmR/R3zo3BaQ1HJuyyPjg63t0
2o/3zggTwN6ROTak149QtnsQnKFoFxJL9KVyZOxbwyEqOFUDp+PQKOG4nKzRGyhvy0/BeFvi6BAu
+SGCJ6C3qGECvC9FfzsuGD4xCRr6G4yIj+V6okJv4ftafBK8rwWOEN08O0jlLgUX2oD1a78kJcYr
GEIoZhnUhhOwP5iv1xmoAeapmr2N9NYIE8Hekjk2vDM4Iff7zTUcqQGamkFA/NJrZKdUQD8xDQx1
fmhEVi+nKvQGxlviUwDeEjgydK8hF3GQMzSwVIlFoUD7pVRg58SUfgLJRcCfjBzt6Rrtx3ckPwHg
kcSRIQz+5CGyEANTbUKlwEsctXMiDmw1xrbNwFRv54+n6rMf3S3pCdhuff7IkF2t80P40YAsNJkw
gKh85kDGWeOh0h4KA3TYpreRnarPfmS3pCcgu/X5I0P2qlxD5fXv33QJgYoAyC/Z1lv9gaBJlAld
JqxxLcB0jfajO5KfgO9I4sgQvl0/lNDoK1WHsc0mhT5QUHn77Cbv7L2D7zX8gVTU8Bpx1e/TbT/e
e8aYgPkeqSPD/TpZPxykNNM+gb12WNsvtR87VhvOzdChEgj/rBp4HTtN12s/3iP5CViPJI4M57sK
COxDWHBIMxJ9OOP2Ro3P4HexgcI2R2HTdI32IzySn4DwSOLYEAaOB/py/v5NeqjAhVQyEF0vkfGO
+cYQOkF5PRxx3nbA7qar9AbGowGmgDwSOTKUbzg0mZD88RBLmUC5nm4S8lILslsMAskqaEEBBQOj
EOpdSu1HeneICVjvCh0Z2pBo++BsYFkfwiuDuj0TqrsgRfFzB96q/YHDE4aOdai9H+WW36fVfrz3
jDEB8D1SR4l4ma7Lx8N0AYNDE9BsAtmwaz+9xn4ZorBfGzr4btu2/PnRv0exXwG/M85k8Hckj2wC
fAYvuDpIPhJaQtkAvf5Wj9YnTw0ccksfpaveodJ+zMcDTAB7LHJkKN+G64M04gVfDVopW8Qmb7WK
wifEBgsAR2FH63uyRvsxHv2iCRCPJI4NYdi6Pb4JDrFzPzXWpSacpRmX61I4Egf42j/29BHG79Hp
DZh3hpiC9I7QEYI9B470gcuH7Mcz/x03JFA4/KjrFOLnN3w0PFyhAA1cyZ7t+qdGU2LCt+HeHWYi
5LuCRwj7ebYuqkOVl0DMbWAAeK+nBv45ZlDfzdhzgdEo+B4ctnco9zb+40Emoj8WO0Lsl3CnxyHs
+1PdCYWq0JfIbA/hArlM6OZr7MF8slJvI749xES8t4WOD+2hCLis+im29J3X4FhDHRky9B+VJ+Nd
HRKc0IMd9oFxiylY4u/Q6k28x2NMA3wsdWyI8015kDAMepFYOhx7tZ9zXfsOusObcC0SnKobXuMl
PlmvN/Delp+C9bbEseGs1imXybo6xBksCkesdGguY711fAOSYPrQV4yOQm64LuodWr2B9O4YU9De
lToyxL9W38CU//YDWUN7fQS9C6DC6Om1c1QHmq7DMR0bovMfEcLzNWZT9dmP8pb0BHy3Pv8/gOyv
Vdz6wcNNZv/+8Wz3RF/vvZ4OmFDokm/B7XTPiIIl3iLIgTCzEFx/A7g/R2c/vvsZV2iC/fNmvefU
9j6d9qP6WnbrNz7/xF8/lMPcMff2/XM/7/jz1mo9e7od8NUVdL9+9+nnw92GI9GXBmz7HtjLW2eP
f340wT9+BeowxlbnttdP8RmB/0htgID78yPcMQiE+ND2UYdW+SZ0+oMBm83zWxjuJxzafoINt2EW
DM52Cv38wz8/GuCRoaHYUB+ghy78YL5lVg1vQZMTSKHZUBUOJBvYdYZ+3t94nSVdkKU/H8jL3z+k
lbjOeKrknx8RfEf+/LEnVXWTQQNZON9nwXkhArEgFKfmD+ub4cgsfPr/qZ5keVFV7SptCJvVjR/m
TkYiGrsxbepPlmZ251Fbp/FM12P1VWVGfR8bsi0cydLiy6unt08bCDzG2kBqAI4Vw6FSuLpvyPe+
1sZIuzxmYVWvcJGiVRD3qe9UNLNCt61Vxpy6MaqvtM417pTCVoVbRGUcOH4vqeFCvUj6yJTSr2CM
sPJwkqD73tRstOgs09+gTkPt/NcaY7ipaEdjOG4FfYWYSaFVlD7SmNMQsO3UirRmEHhW2yf3NXQ0
IHNFu8x06q5Fkcepbzs9tTrudLFOFqIuO+SVdaYew1ZK5HItNz0Jl3PWjhKhXju0NONgFmRReB1X
7FxIFkoPdgb2WYbFRZw0ZjvjUrOWvAxrsfj1r9qFASpndOilA/c7AN/39KNfTQraaUGj5Ylcpcpn
n7PARtgxYgxTI0+r9rppS3ab+yj569dfO8y113MRzhLD/W2UQDNzOPKCyaDWq6819TYwchmkq9Tu
0QrFYbVKZely2w8///qbYPnsfBOD3COFdk+wodqjeZanRtcXZZit7Fw31kWTlcnCV3aHnTgPZ3pR
Jb1L9M7O3IiYjfhvk2aYFNs/FCYKtDQx4EIF6DA2/no4u8fDIBV8RYvYXIuoMtdxMuhg9kLOrDLL
nE4H6BdNUjTYKeKMblTC5FnDOuOytUipu6SJstiNaCruSZlj4oV2121yrc49XesFdU2WGeWpSay+
cn799IbepGP96WA2oKc83J8JfVm2gdKtykxN09eWqPLFmpdKBg7SYpUaDum6NDhvQh5/C2yWX7Z9
Ec6tzGi5i1FNvyva95nbhQF1jSyqN7wk9LE285Ce/1pJw9wBmRgEJtFQVAJUhknBLXo9nazS5noZ
KrKMjCL3me0pFvaLVrWEzVVdVW7ZFvqnWnRm5YRhSN0SpQuJy3yRGDl246QQN3liitahSRN8aSKR
nXVSKSc3i/zekrHt+UXqu1UWRdzhikSN40cyXTW5Jq8KrSezIEAscrTeT4WL61CcmpZKbnAUXAdd
SlonqWixUn5xp7DQiGfVGB4k7zDYBqPqe0dv7OgyCU37q69Xxnlo2eiyD9qauY0eGsKFScfPNLvs
hNN0du+hxtS8Pmofclmo20rXaOg0QtG5L4vqzPAxvitC1MQLn2qIO30Y+9/g7HBZOzwttL8rQYWX
5xKfxVman6GCJY+8zi1Y90TEt5z5LXXqwgjOS7+s3A6ewwIZmF0VjWhnRlMWc4RaVM8SuKgxcOsm
sAu3xqE/E5KUXpWzq9DXAt1DKFOnsNXgxk31yHJsRZO/WqGHF7hk+a1JlLmoWKThubREv7atrJxJ
vY36eR3bwVxrW32NZdJ8l0Gem26PlV45aYDrYN6qKIPF0TSzLqgre15mfugliojTFD7qwHmrMoMH
LWrqRDKKNJf6DXVoZra9Y6jEd4nSUrEorXgWGFWnf2oIMuC+41JPnAhmkpoT1TC5aAltL6247xP/
U9UUSgin40mXlo+hH2Lcf5WN1lIROqwEU5494E5EipRwY1FV5fpKxUrE7TnjRb+oWaX8M1FynjsR
TrJbnWrkLOoIqdwKMPCdrtBZC3AJ2/ZS34f9UCVxU8ysuAl0t0wU8q/CQrdodhp3tAm9rk2YurSk
IjCjGj9DsnEr2AvnlhZG/lUNS8cK3MLObZhwJJZinia8ZE5SwOblz9qaW67mg+dqOp2vpwbc++kL
4Yasavx5k9BEzKQPXsHcTAPRu3ZvgsVMcWxUrghLLXFq2QXyWnJNiFkWcPu7VtWU656eYbXghl3Z
K1PzA/88JVRRM3LTVhZ9dyrhSGsZzvIgpGLmy7ov5qyUKZ93iSW6U11Kkbsm7hLu0tbskkXJC665
ACv+ouWiRx7UH8XCg3917SqJdE3CI0/TL5EQTJyRkqlkFofKuukrRcg80jKMLsImlDR1aIhDtfDL
Ok9vYTMm51HQ43he5aDBLFNJ0M9s1PbMtaMub5bC7mBqa7BUSs9HqDoviWkmXuCToPJoWgOcnErw
T9I+Iv0mieG6S88GBYRHOhEWZ0jnxmnAaWy5OI4L4vGM+15f+bHpaE2Zs+vIbyLDJbyIekfkUa9d
6H5izFHuByaoy2g+Q13YZ2chR00wi5kRNs7wOQcxzlKYPgEp3LbhWu+olmt/l9DDq9McDusIr1Cf
8p47dm1o5K5LGlytrJx1mZeyQi3NKoUtKZA0BgEmCDwtn4co/dqjJA3Pi04k7Vw2Zs8vkArUnRFh
c222vvAdG8HknVdpS8lMWj0H5SsUCS8hRSxdu/FnHPHia9I04FlEQVTfStNqvuVlSE5r2gT+zI5N
HTup7cM4ZpJF7Twta7Tq25wYn6Qy0R1SGnyisTRpuwp1tJ3VWET8tGwxbs5SGkh8xTXKPqd6MUzO
KCrkgiYylNdtZyjb1YsGsAmbFBTLJBjdC9jB2Gdi6zC7BVjJ0oMGKG12piTz8XVUVnF8g+2UGWet
ETXVUrVqcD7Drr02Y81qZ1kj4KuzrO9rp8VC9Qs9psOPH1RvwD6BXrlAK8NM4VdUhQmPKoyzuHdZ
XMPSyZMg5p/SksKSLyvwCgJ4D2wqVml4VSCjK1OH5KEOcDdlWy2FFubS4XpVtPMW2gGQWVcXeDAa
sJhc+EVgQFqGBj9ZpeKzD7eLnNs157Zjh2YM86ILrHWTElCjLaPuhqhWlxcBuLnRRZancXRrw26x
kKmOVgULiq9Qz2UVTmiEHJ9ndsCqCz/MgtrrSlo04OB2ZJFjeKyuTovuIU5i87qtpJ6dFnpXx18a
SwTyVPia+N71bLAhvEhCD+IAm8w47kI5zy3Bvmi6L+aiyYPCoQaYua5swhueKXnBRByZnolLHIDZ
gyvMnDrE7HMZaXUwS3AKy6TXfMLOjDRDxUaAQe7OoT8zrI1msNizyNTgibZ1X89gk2mKC1RW2HJ9
lqgadlpS6+B6F9HfJavZndaBm37eM1WiRyXTTjoCIVqf8QbDUK1AYe8aTWAFZznA0rhazKx5n9W1
WrYdTW6jWhaOTeWpIdraPO0bC8CJdST7RZ7EWbZMrda41JRuZLOwSEV9EXRNHrq2KUV4B56IfNRZ
CmYETKesnTiUjXRYU9sF7AJdcZsEBeJ/oawndu304IF197kiGoPBpF/OQqrFwbnm5823MNC12k2o
tOIzznT0qZWa3y/KqpB8xvsKJinHKiLXbZz05kpYeZI4RV7r1tJAodG6HXg3ctaEOaDW2CkPnLKn
AmyHlMkMtaQtvTrBdrno7QJmf2y0AfU6v9Ol6+fSKr40ZofuorCEuQY7HfsMc13I65SlCAwszlk0
t0VoNU5bfcV21djIieOa3ps4LRqvMQNlLA0/seubwpeshM0dZvQs5wTQhMChay85UXF2Scs8JNe4
1RPrzG8zBr+rbbVgGZda3nhC+mAzwBur1DJJfNC/ZHEwl6Edh17T6vpZVxiw7jvLotwx/JAun7zS
F+7i+tnJfw7AH7K8K3kQqtFf/3WXCfjnn4PMz8880RT/+duSP5SZzL6rX35qsckGJkiOP7Q1Mnz7
i3YDfbH1lx0q5Q2y5GYjq0S98ebbTMrP03ID0wBn64ipD/eO/fF6oG065dUd4j+orm3ZH6TKcMEk
XH4DV4kiBL3jhgDqJ6kCFQvAkwKBAC0hKdwf/ZNUGa6506GdN4OLOCjwLgMn/oNUgToIZAPdg62h
zJxCx4wfWm5hCkTSy99fkyoQy40CJJMOQSU0x4LYH/4MzM7r0IMJ2rO0NuurpObg/rplkennSYuM
87SHaMGNLHHfRQF2aKtd2ilEb5EpaqeJLC9MNd1BKrprA3UR2+1trbeXnY8iJw8t5sDKABPHe/Ac
1edGdCsqyJnJLYckfuYUtrzK2/bcyivLbUVxxvukcYSU4AMGzPEpaxclId+JHSi3kUXq6DzuXFhG
eFbGWuH0tjGvosh2jQQ8aibDr53lh45MjG7GVCc8vczvDKuqHKPSsAschUvyXne7RjlGUNRumfpf
EoY8ha3OLaX0TN58s6rYifxCeNCZ96GIKHdri/9lwS7lALdyRlobtixOHfDF/rICY2HTvHf9hsxD
u9QcIsUptmrTqzP7VLZCeJ1Rl+DCtN+6zP8mVHulZ2HhmMBPcZ1xVxjxIo7bMxuC7DlqmxKYFi1z
7CB/DHTD9FqU/pVnZuSQsCaeX6mN5eN+JeNuzXPTv6hMDsGgiYUTBtZMS210gyUtPQNCCZcPm04m
W7ZomvgCmUX91WZ1SZwKqL05hLRub1A+M3yazZOO6G4CkcXMDkPdCVifORVO5bLT7daLgQWa2xnP
PT/ROlfBbHZKGYczjUO40+ncn6W65Bdcz5KFzRp1i826/9z0dehlOrgIsUz0ZWcJOu+bOP6alTU+
55Raf9VSiBtZouI6tDA/s1HZXhbMJ17dJdk5bOFl5WiGEV36TZoPHmx7WZV9gp1e6P631uaaDSZX
K85SrH+KM4ZmYdjk93oHD37hA2/3txax4LthJ9VMMAxemOqqWWzbbicwMINRXjl1r2DelOAbSrxU
XQ9PvZkVTXAp0+IruPHM1YpqVYZpc+r7qp1TvW6dimRsTs2wdow2XxkKq3khdGA5SjUrELuA0Cdw
4oSDZ0j6IV5mqdcbMfIyZHOPik6fZxUJ8xnmt5SkEJ1yK15mcH7oIq6C+jODAOrMgn7FTgg+xkKz
096VWvm9xb52Cv6119odfyYifrfJ/98z5gbYz7eN+X8yjLumfJD8acp1KBiFVW6YcEf4k+X9jymH
AwLwFoZL7YiJzKFd1Qs/DqZcp9BsgTEdromHblbw1n9MORpulWcGRFNwrtuy3mPKYUcZm3Lg2SGF
+tQkDej4oXb5tSnXbI3EZZtkV1UH0f4ywrkZraDYIsIzpURyTXlRK1ck5srMi+sqtB+MIGxmJRZ3
NUoy8BjFZYHLr0mXnScyveGCe0rDmUMifwlb0jJvgcdLabMISB14YAAuQ7350kfphnHZOlmNIXaP
reyTGfRzJIzICfvEqfww9rBRgd1X0VJVmtNCatArSZ2ib1iLnBbYl2TeBLWNziCFXPJzHFsqWMRI
M4BYqpnFIaIkQL74mk5yx6rzM8qpWBSUnVuJ3Rt3xFfgBfmiiSqPsSA0LsuIy69R46deVROB53VV
R72rquiCytSK3ISZspkBd615TNpldBqntO5nRRnoxUzA+a/ASZr2W2UBL9Ik6Ream5WrwmZh16xc
5Nxa537me7Qp2k+RnTRzUmVL7uuFi6UyYAfks6L3dSdkZJb59T3W/c9a2Z8pqt3UVLhp3ZwZXerV
mrpsG/OK1Vbn2LkFsQK+6SRf51p2AaSb5mSqWlY0hZhfy0/tkObgCaKbutLOgPicpX6xgu3iOwbC
RmjNKeLqHIKX08AvLgOWrgRuV2Dvv+mdvGFhcooj6z5mtRea9NRHwZUV1tIpkvw2yXuHptxLcn3R
mPKmVLZH2uYssowvglqOzuw1s+V5AvGkawvYhiP2PUXZzEisFWmqWZPZCwN2Q5TJpc/lNYNNrpS9
RyvbyzU0S2m46jNxBeSvw8weCHMD9kj8pW+yZY0jxxDpCrB086iZQ1ZkFfnZShJ20RNzDreqnEdm
tMgt/W9sggPO1TIn6luQ2dFsgD6g7M4oITsh0MK22ktUS+VUTF9VGCimIlqVFv5UdI2reu3eDMlZ
AtsCkJqZl8fiTCKIMyHWZH6xYYZ06zT5QqPwPtPDGxVqcz83L+FM9xxXYqVHdeJYHbpsjPZbDUq4
EBh4cYou/bo/tylygcm9DCiaa7y9aNrwLJMCYquu3JQU39SsvSm7GDycoDY/UbNccKsJV5ZvLDvY
x6/KRI/OBDC6IYQ5GUEQUcHzMtviSrfMywbBlKogrE9qqbmF1eReLtljF7QrvRWeIcgl5cGntlCW
1+YcAp2EeqQo/lZRB9OPWMCZ+ou2qLu5Rvy/+zJZNqwNIaCp7mLgOohGKERESs5wBnQLitPcIcKg
rhaWrZvXWjrDIVr6hnFjlLx0NUMoJ2oB8ToCCijXFtIAXraOstM8jDVXkzSaFy1aqqhaxH4wUP1A
FctqBrMD0MJYOayS1wVQE25qyAtM+tINO3mRCH5l+PElKbQFIs1MWMUqx5g7TSEeckMAGL3m4UY2
XuR38LCU9clM7LMMQkOvzCLipLEfQ76tVa4WVW6mY+biEFypiOeXgsPGGivNFTj7S0GKyemwqF1N
9KsKkWUb80eLFMCH2/jUz1PTaXkYOWlU31gp/qyYda6ZwamtVQl4Tmnu6rxZQj+lzqkNsABCS3KX
QQLKw4VfOQ3Pi3lUdZdZgRrHIvwKGLT72gLHNwzbu8AyYb4Dx51qyq3t+MoHktQNCxE7pIzuWS1S
l/GQOYapNZd9RpKL0LRi9yDh3v/e3k9gw/3F3v+z2cPu3j9I/tz7oTwJQ29Z2MSpSZgOR0Z+hnHQ
l9SCdPSPd7b2fkqGlDkGJhcaZr0O48AtQNDvECqioGDdNoj9nr0fSp3Hez+l0JoetIP+8wak70d7
P4nqVPZZ21y1ia27RsXzOanDaJaDly9oq+ZSiyVxWtOov0J66CIfwgI4/kQdo+Dc9YEC9/whfAiG
OMI2hSO6lLqWzoHHVf3aHMIOIP83jVXIGY2ATcwT/5ZUkNdN6yR0upoU87ytixWkEWdREH6GzXLW
6MCHc2afC4XPwT5/j9vucxOKc2rEV0VSehThU5jckcMi2Gi5ILkXJShw+o4kXquDLQbqLoSpb20i
atwDh/p3XGubpg4Lj/qdAMK4a500E4+F6MDh1rWV0uvKQ8AeO03cpA64D9+60Ig9ZloIeKVaOXWl
uFd12edQZJ+wFcwgaRM7tANes6hUPQvKRRUsA35m5eSmkNYSItZNn0DaJL22EJAzpIxX6UCgtdEX
URDHx/5DmJp3tQkRqB597yA77PEEf4J8F+zqVa/P6kDeZ5rCTlep3K2SMIH8T9I6BSOFV1rdrQiU
6SnawKZo65FLkrCc6WlFnT4zeldwBP6/H7GZpizpGSo4jUMDWD6NLKpKi25MlGCvhZSME3XgeCFu
1p6ZaWRZFjGHpFFTu7GN8vNeK28gJkwcQ8v0RdXKM1NHHLwxxedGFZmnlc+6+HMaaDRYYtmLL5E0
NUi3iCKHx1f3bkuA+6pb3sxS0/4O2f7TNqyvQlXGLhFS0aXygYb+uwS2/VEkGQUHCyXslBvIn5vS
QldU560re1a5Ae7SeW6AAyB6zO/txv5cKt6eQjb375i3wjXrnF81QNd7Wl6Vc9zZdyxtzogwF3np
V4sECP7TEqF7rfKRV+kNmbV+ny5qoLBvhAH7LpU4vZIp8wodniWR9bINu+wOZgB1c4NC2rxI2mtI
NcgZcHn5HTAD3yQcBb6gMa5dKwo3OQpbiJQ7fcYZWml25itHr1p49CZyKVPVaVn55SkureS2sIrk
qs5oehfjTnk54qFbG/ldZitPKUtz/o+9M2uuG7e28C/iLc4EHy9InknzYMnSC0uyJIAjSIAkCPz6
uyjH7rb7dqr6vZNUKolzZOnoEHvvtb61YWc7UVZFhzXuG7TGDhQWdI50EuZKT2mZOQEKbYdJtogq
X59NEJx3pirj02Tcl7UcspHrB2LCIQt611DBMAqyMDXUX0Pn6Dipfm5qrWHkjGVekanfr4NovjVB
pA4t3D9qR3JqNF8PGHtJIafUohe3Q0njKJWbhViecxaQC7KYS7UN+uk28ifb8F9vMsC6CQLTJg04
BCKB8hqXNptw8G89grC4LXf6b/Xof1vIpG8vvxej7y/7UzEKt3X3BHodSkcCqfJnMUKoMQFz5QaB
7waejz/6MYhiRysuKMHaAoiOIRgv/NEfgyi2agdAMrHCE7uHfP+fFCP4CH8pRiDBYmidmJV9LGz/
TVMkKxvTmfD5qq6m4UTaNLyQ/XpG+nbMolk+xBDGxnpqDr1IWvvOhRqdmxknpRltlcG3bG9SPvR0
aszNxMITGmixG1uFhtQaAEcYDPdVu4Q0HPiONQs/wtV2MzaUIYXvwHiWLmO/65Khne8MG55SPPLU
iRMYkbAW62zwVXhaVseeoqFfoXqaTUyZ2yY3m7wyQWfB7GTBOkF6MZ6ACOM16bHdhJlhk2j8Tawh
32Wbu+FTxyGbpDNs4s4iHTdPNsFHbNJPu4lA/jZQSuhCzadAxLws2iSjCNoR2USkZZOTltau1Nkk
JrWJTVKrS2+TnyboUBJ6lIEuxV2T+9Cp3JCd6U24mjYJq4LHQmuoWnpGb91vQhcrnQnz7cQ+Si3i
Z2PrpdyNEeYKwBbwwbnyDqmcb3kT3JEaleY4xNyZbiqvHw/AJbJ+5PFhjIzq7+LJTSXlc5ksNEjK
cB94eqlpVEYfTTnrY2XEvJ/7pslt11+bWl3G4XDqW345uv4ZmZydUPrkdHEuLDyMTczFMB5Vw5vu
/dtqSp/+PTw+XQkPfeffN7Pfb+P7/exA/carfpwdIHVxAxXQBB+w3Hdc8+fZ4WGBEf5nAi9iE7r+
aGSxERbNKrahoLv0tiXPeKJ/nB24FtrFwQFiA3+IMPU/amQhlf1+dsDVQDONZRxQsJDo+62RXeZ0
dQYR6yujA5UUfCnrGmBlanJmKg7jtDybbMPgH9fL0jx4s4eHDSnvajoOtnIhJsW2OVcm1baoV3+y
RaOHXowU5nEcfVtjnXS0RfNgi4nJylC2ShRjj6Ufqdt5051RSskd2oOwzEtjbQpFROgYH3+ndCAQ
xcy3kGAaDbLTCi8EczWz1Ss6n0lb4Nb0zqMlQR87zY23n11ozXu5sDD60noOj3cQuI6V7w0QhuNw
OgCDM4c1MHP9oQOy7lhN0C0yVndTgWXb7oE36+aMkva1Kvs4T5n2HGoGsxROK2O6dHAjUt6g7+yg
pS2RjF6XSHFqbRfsJ9c4nEYjnIrI8I9YOyHtevJR920IfJN1RTLgzwYHWJizzHK/olM842xQZ8Rb
ODqVzqftNEIqkU7/CqWzob43wXfs/KWh0oUDNEfo1z1TuQciQ/TwUOpfPNJaGlvBTgMQm+vQYEKA
qZTuydC/N4mN9kEbsGLgS7hXYqoKF6IcbVhSF2E0t9eNO6tshM7RDYtPu3HUBXHAqDISvHPliEMk
G3wsljagHQvHQgqWUDd2XgeIDIfYtnPmpdCjuJQfiS5LeP0Vp0kHmzvXkhn8TH6yF6JTJ0RK69wH
a3SB77mjTMQC/dGSVXPt5hgGQxol2tykaRntdSpAAsw8ouAnmiKQIaF6LpeitxLfJgm+tn2Do3es
cdjL0KUAthhFkTN0GpYRxktQ7702Hm+YGT26Mj3dJBWYNmu80cusMc1RCb/dWUBUhVqEpgr2QrF6
yUxVp8aiXPvm4LWSZ2NZd4d/j83PY3NbdPv3x+bnhdN/PTU/t+P+B42Hi0twEYX3vT36hNx/nppY
+YWGC/9C5MXHFWJ/dFwprgNEy4U2zQduEmxD+x+nJnJvaLXwbx5C63AF/oGL68V/Gf8hPxAc6jh+
Ca652kyGP0v/4D0Sf51JeuV30tA68uwA91Sw/iZweu4XEQdP8JwGvrzBLNvHp26p+swu6Xlcp+ey
T5ts6JrXZhQnMwKJ8ye2M2EoOB2CFnOYDOyxX4OxmJf0piH6YyMSskRCEp79vZP4GVNVzqJx77Jh
T/rgch2cg1O1r5FcgyypxTmr9U3jVzWNJ5kzGR+wXuvg1jUERqmzKhVAvWqzR6ro0rduXvlwdTWP
2t3smoPxYKP2jvda43SFfBkdJUm+Yn47Wqm/oYe7ICkgm6LEz/aUyjqfyrgB/SrepSF5A7iO1jCF
oQ+I8co6zm5FxwPO1TuMkzhbmnbJ9OTWtAkcWQxd0h+RW8RPC4c7V8I+dpgbQXqDXa2Vj8M/lPDt
AuBF/h7jG9vJJmCZJ1lS1Np7IY08a1Sz5GOYSIr28alby2eY1Xe8F1fgbXDYdmW065SPNsvtjxpe
KP30UDyni3JXhwsVHRF7HJBBPoNMzMAOnw+1uekiHBEMBzL36zfTLYS6BDAz2NEH0oYeDZh56f1Z
o9n0PibfOXnLfITpeV7LCnJoOqFGACA8pHrW50KC+Dehs1ky07lt2vfO6fVX/D7PpujZdkBqKqjh
bXvdjvXJjcs7reopk7qpFcjYdOTnjt/Ptuirhm2KUCt4DCSgScfLlUXJsVUkdDDF831FiMTMjMng
wk8cfkoasex9IGVHvC+DW4RuNex5SdK7Ei1lmrXGW3s6ChsflsigRMkobPN2XtneM4K38Cqkf560
7fxIREwOjm3cr/8eh9+PQxwff38cAsWe1V8mUBAxeNWPLhLnYYLCCPsSCRgQuOjS/nQeJsjrEtwV
EaF/wyz5cwJNcbE14kXYgJlGOBl/lUORoogxuoLo+udUy9aqDn+OLUTQQj/lVVy5izs5t3XYfz4P
VzAkwBzL8KqxQ2KONhZd8LrwYCqvgNAFXXfhANk+kDJpM2fmdyZkIW0wtOR4dgC1lLAckWhoijmd
wlxFnXtw8aHPyRrIbF7Ei2csy0BfvNhRrXkXIPIiVQzXgoFgLOvregQ3xsoJh4kK6ULArhFj3UOV
Qr1rZq8E3t0Ao3G6peByanMeT2dzP6TUS6rHxYtvqqDfx20nM7Hm/WL31ThBdnM7qC21uLFMP6BT
OapQRbRqBbDcyWFZCpqOVtK+pLW8iePRxSXtfgwJx7/23am9mEMrdgBW+9wvWwFWfPwISvYy1zOM
YScpJvOuVz/KwcsXixOwvO36i9UPH4eeDVQRPRxChYSADPSQNVDGaCAc5IVw+mbesp4FtqoLX9r3
mZS7WSxnXqr3XoKBdhB7FahCAmn3a28BFT40mVyC9ylFgEGXlqYu9W1w3ht7sBFA95mVaLoTeCJd
dU/mtsckPRw6ZI1WUd+3qQNFrb8ZpHvGnTlDPQJnGXU3C36lcxciG7NWst9PDgQ0Eg8nL+pee8Xb
DAmnc5jK56Cee8BDWzUkW2H0Vncon2vZMr9Qn7XTsZMZ9p0HKZm5OF4wQ8O+ipfmmx8Fu5VLDY9u
/gb2aJf4Kcs0wR9Xs34fQ09lNSR22i3rYTL8MuxLUjh6Nbtx4h/awTxRE/MUu+n9ZNcbb/GekY05
ucI+VbDSsjhSQZGw8K3y15N2mXlu+djA5RqQRgn6jCzoGiN3PNSRvAESekAtds6R0bg3FX4sCB8j
ZYxclauCosLtB0aufOZTA/YoTospNu7BJh9eLUIAztPDMoFu7YbQz1vQ1g1Lg33kVAhPIIYyeFEu
If1ljuDfWDParJ2N3RFdD1lt2N531FOlxUHgscl60q8wO9E4JGobsWAgeiA5Vx2WGRCpa1M6X+Xk
gvsKvLz26y+QzBlYdT+hqjQUT3MONvPQJg3ch0mcetj0lIOkn0cSUR43H4pPV0MXviyqPI9bi6Jt
6kukmM4GQFI0FulZD+yfwpNZshoElORo/etp0ftxBdI58cCjfopbhBvyZBNRAIg4uoo9BU0w3Fkn
5tThBIEXP/qCQnW3+g68b/115GF1HHh6tOt4VjIynJVCfY3Xco+g2J0Tx0cekCsnVTfcjd+H0F52
nTw0Ap9NGwMqGjz4gUjN3C6L2KMPObC52suap0Wzpj3F0xM/q0UdUdfn25Jg+Kr6dtet+iyeVPOv
uvod29ySeH9f2v60COiv/f720p/1DVegeAkWAELFhEm3XaHxs75t4fUYCUrUKuyX26aEHworwUWk
wDYTbIFGZu4XlWTbY+P954vBRoz+SbuPqvh7eSOulyKQB8UFV58CIP21vGEU6NYVjP2VcRYYUtSf
Peh6fU/qYzzz/qoKkbbk4C1i8AWljSOgD01KLXNvgzK8beT8LtxhpCvoBMgoZxy0whLM543vZw4o
hhY0AwHVYP3t+AXnYIbg3G1NSwMQEECQdiVLzhXICCQ0bmCSfElM/xjBaicgKAimYgmiAs74sQFh
wR2H0RjMRUT4gwSD4YTujWnay9lALAWjsW6mXApqIyZ2H4Hi0BX7Eo3okvETFa3Ur0BIL8q02U0y
eA5Yu1/Ag/RlvJvAhyzheFmCF0nFuoOZkTE+gPoAMinGCyQsHnFx2YF73mUKgdlpxFXt1ZcCPAqk
pnwEn4IM6xN672sEcS+YNhnYzX0IniUA1yL9AUmVDyVTv+g28IXPMyh78rIlsSqQMXW9HB2V5pBc
bjmze6eucYxC+xgklCRg+OVaXaETPiCjnHtgb8DLHyxYHGSCX3uwOQD7LjlYnQXMTmTnE+a3A1B3
moDpSerhEkJZYcv0GLDwNtngHwIKaNpwoLDVF80GCHlmPBvL5iUQ4W0KgohDDd7yelcz2CLmd7ll
y1HaPlNgj+p0RZinfAg78wWnfBH3lUdH0Epls4aUbwBT0o0X1YY0xRvc1Jq5zAV4JyjaAJ/GFRoO
UCi2Do++P3DagZLqP3kp+clOfZfeyk+mqk57fpyElPVVaO1a0TqM+2C/SLjCqafx29/8x82IFAiy
grYYbhsBy6CP5ZKpzbj02g3HiOwCIBRgcbtWgqaIp+RlYOtb3/P3je8qGsEPrXtPbTEYgmkEZmnv
W7BIm4FaD8lYTJupOm/2KsJgCDDDca1CM+ZIWq60RBBrh5TVkCFiDkYUXi1BkSqaeMY0DR+3ImZA
WvFDbwZv6vj3DhxfQYIcTtyV9aNdCEd4VI3ON+kITcV7ZcMLUk+PjsbrLuRmK+P/C4N5AGGMRFtR
bd6z6B70ZkYPG65Ubga13azqeghfGWID1N1sbCQk51yF6SWUIgYOu35LHfiPSzh32bIZ4Y1P3tmQ
PvfG/xLBKcf3D19AINBgNhs9GOCM881aj/oahbkpK7oM3mGA/x6Q6mqBH086/RCu5mNO3FMNvx6j
f7VbnblAbOChsn6Rdu14aUo97rrN7vc341+AAOgHzoALNyCGPmfVMKipBrWsa4t3eezeHEGA/Gxo
c7JBzjVo59Jp9/WGP6d2ebIbEN2CjK7c5JWDlF5DzPpyg6cRQ4cVDJw6AbjGNsDaH/0dGZCRGgN/
X4LBnjYYG8dUNqroWLEZETrw2oYF+OJO+K3aUO4YwVagC6/OLHO1wd5r6eaIwz4GGwZuUoUvMAOa
2AjxDRUPJ0DHFvQ41wEw8tqYYt3Q8rUsvwYbbF4OZYLPV7AbNxA9TTUe0Q1OFwKPpdQE0iXI9c71
1/2ywexzBAa8qTQCruDcKxvje1tOAwj4taskNYg9A6g7au5e8mlBCsw9TRs83zppSivHQOkEWd9w
906DtI96fo8QmUsXMPi9rBdKQg3CGHx+NSOM0pvmi+QhxoJuSPL20wTjvOl38JNgjTkCLtmy+WVO
DecshO/PNy+td4mzdzd/DUATYKTNc1tn/wTW/AZDDPDDzZdD7L/6lzz6T4QEZfnve5H/bYeqf/9r
G+LiVT/aEJg12HoYwF3xE8wg24Ksn20IrkwF7YN/fN+78UsbkiLhGLhAkcECf/o4P2RHdCgbxYSF
qfAOMIz/s40cf8mtY7D2sXshQJgb3yf6m1/7ECYTXdcBaa8cb3xiFQZUO7evnomOrdf1tI7BrMi5
SIATuQvY/4Cdp2a81KRDGHF7GLpq7DDoOZlMZn/HInfniuBOV4tfkETM2cLMuTuVeewIJFQxp1QE
klnrtec8GttscTApNOqli1dGZy98K33oVYPTsYxF69lKljfM2mNGGrimsMyL2CwR6mVvC3d2Wkw1
0YpxA8NvMgNHAeMRZ5Poza4X5to3GJl81p7NawQ+kE1fAyTyc4Tr3oQbn5CpGfJxxXzDFtVA2Qpo
xPEk90l6bVPvcSktw4wH0Y1zR9M2mfBf47rKLIP303WspEmJsj7tTCJKOiLeRn29PljOLlDfz4Zy
OOP4magwOCM637/VVZMvDJ5N0/sXpeffl6adYBrPHcWVQ1jHodBGDQ3m8TAMDl1gwHWR4ZFE0gHI
ZdgM/HIZK3Y3+fXwjEzpg7EhEJMtiRNMat96GsHxUT6v6Beqvtl3g45pOEeChhoG+hyUPjoEcsGZ
/xCMwMnmSl85uL+5aJrZ5n5kWWFTcLRMps7eEfNt4PC3CHGfPfKrmYdU6pmIX6b1BdHdXTjEL8oE
Yj9Ldw9JihVy0J14SD3e37Uu9IH3itk3ELS3NnDhZc+DAJwqOSEv0C0vS3y+j+7Uu4d18sWVL8v0
KuxKdTLAaMIUNrhG/Zgkjk+Xu1XGQclcBrWF+lqJTu+R/H/Uvc6TquMXwSrekQaEIi1YOlIZY2am
/8qJ3+VEuMH/5ZzrXt6E/H/OObzqxzm33f+M8ASwRbCLJNr86p/n3AZeYs7CUfMbz0JgPKcuZq3v
Obg/Lx7CPXkenDksTfkerUv+0bj1uRnnVzURbSO8TUyEWGaERVi/HnNiiGwTmVJduW1w3wh156vo
rAvVTbMO6HaWkJ+Yi+LuhQc0CxgAmqbclUsM2nydS+qOGLUSo+cc09Kti04440PiUR1OMVXWu5lc
NJ1hiq/VJwIedz14x5TBURx4eyeTvqa2FwRGwnrhjC6CGj2UF4SrwFevETIIE2zTdoFOISc9Xrp9
d49b16ML5Bn683pDrEWMrBMr8Yj5bbIPFVgUAnMxizmaNyv7e96jl22dbkDHqY7jEO1KMrFCNQi9
J2H3jtUoD1gr4WyqyEEEzh3kdtjco7qwW4LcRuwVa6NqOkYzsnQCaKA81t65x4K3hb/IIJtSdhCi
ZLleZqyJsXONd6Rp875dEQ6xaigGU79oi2N+neTbPOmTNw0aoiB+ILmURyXJtXEw/5i+cOz5PHmn
NSTPUR0fhVuHNDWRm6dJdC6ZvK4wHtNwIVgQtXpXTSxbCHhz4REXv5IgUXRiTB2TzaHFsohbn+nw
JnX4t9Xvb1RPkBVvAwiFHvd2/ih8qpLF2wUxShlCH1PRNnCYykZ7MMDJOZzlo5kr+MSS5zXpb9dG
4cixs1eMAbbbEIXBM06xdiR2MYiwcVru2OQGWemlj8wRNQVbtx/dGq1Wch+m9sVzWL/vTEMnHHto
0tJcwCmBFSfRvYfDQbuLD3FsPAUefhYrx30adHXWlF7vXg/h1N9hDMdfLBXKgbiyofxWCS2O/uJc
4wP+kgpMUbJm/Yk33lc5LhcS6zJyh4TY/6SD91XP70tizE5N60BHRcoDNli8dnhEqcC3kjXAn3aV
nu8in6mzjrinpa6fBouwxojRKxJ8L7RzPhoD0Rihpd3ESo+KpoQtpdTlVFs8Pss9Z+XryBNy6APs
DKmd7q60Afpsf34cg+TYjJjqSCROwItalMG42xHVH2MWob91+WmZNmagtnf4mvocpuCSrakQEB1j
mX2ui8Cg2ey8dPvlrYHJYGDFuVeGj0rUMlsssqFK9f1J+fOarQ48OG4qDCOqnTK7KvGVuaAJes7l
dQ06kmqgumtvvB2ZuwfiQ3pkE0dCv/ao8kWFX9DQF2Vbz9gW0FR42if/qCqYqKKOeS79+eha4h5H
wo+JV7b7GN8LHeMAsuf2lBKkzGGvWSrG/hBO0HadOK8FgNG6ngCttY6HJy1EngGTBTUhT0CDqHwK
PTTn+A9OGF3XGDeEWr54a30WyfkkAnOZhvJuSRbMNKrbg2JpaN9Bb+8b73JZ5y+ViHpoNfy6C+eb
Br4CadYL1dmvqoR62mCbGe1E/YCNP6dwdQ/gY+4nErt0nHuXukIEsBcwnQBOSFwpdp0hivpyvShl
cNP0pi1W7RWJP5z8ee6pUTO06PK5Yt4V1ipdYgvUNXK26NEW9VqWEZKVjf3acnQX4Ugwy9fds+oS
ROENRrDJB0vLw7ONESqWFp8arP0Crhxs5DJUL4gLsIP8ggssrIkqkf9bwj9LeITO/e9L+Pfb4v5a
wrdX/SjhuCwnxW0amDtwkVIabcznjxK+TTHQRLcbpUGeAZb4QzGN/wc0Krw6gGX/gcd+EhIR9v2n
SMdjgMHdiFsw/R8QEtga/Jtkir8Yu7U+bzUPPdzECPr1z44g4nAu1laI+dK2eFLXan6GEsmxuWEC
OLS02AvSPkZeWWUIamNTHdFIgGuFkPhy3SlxTNLSoQrHHQVamiunQm9eX5jEaiqQ4HXd5m1xlwbT
9batydEdQuH+hbAYb0oX+4s6NVz1q/uobfwM+PRrOgJCIjwNd+VnfN2xuxY+PGLHHOIKlI6EORAN
hvohIv3zYMSXBZtMkAVUQ1bG8YMcJwAZ/eOUOo9lb854nFwFQXWxNPx8EtWzEqSjVZpcY9HPtzZl
pOjwg1EsI4r3vi9OsyeeAKyaIsS+H3xZ02Rjqw/Ibn8x/iALNuldGNoJZl2gs1BXLcVg8TZyqDGk
jc/V1N7r3jYZYVERNeRWVOnbqNLrKlrBoo9QnFxWT0WpNTbXLV/dpv9WTuKpHP0rJfpvYRin2dxI
BsZCJweVdNdQsA4VVzSs2XPrQy8bWjLkOm5aqgfxTXvpReMAqu+wY4UOCIqBXOjSHUKtMoOYfw6X
5DSG5XnP2txWg9wZoXeu1CeWpgfmR7fGLh9VWL8nnbwPKraHhPi1YxYST4JvEr+k1JUR1TpBUMyt
RxD1Y3wTL+qCp+sH8oIiR/50L9zSzWZZI3vh+o8hi27DyZQ5Br37kPkfWNGyHE21vTya510YzF87
Zz4ogZWEcRQjyThXW5C/3sdx+yTCutn5w3yJZJoLjQje5ehNEXVDB/hcs3MTNIXYvbmHaygoa4aF
zgN+a4jT6MyP4nwOgaGMluziSql9qYazquzGk4VNmksE42ik7W3SAl3rkaIcwzELLRY8YnmPpO60
epRYVQOrwCcOmJuD9Vj4EBuF32HnD9hEI+2dYLAa557sWLnssNztzpLgVOkmoInf9lSN6OoYelbE
appvk1i/YufKRJN4eHU9AWpHYKmERj+m3eqAPL+TCYcf3N6pcydp+sx1xR5u5B4bpuZMuU56QHDI
0GAh7109npMViyYH5PQL7MNC7TfAn+elL1i3fhFjdCp9WVF8GjEDIw+q5hRhPOlhbLWDve7W2D8L
+6bPMcKn7Nj6KQ/yptGPPhidpZCO4tUD3oZyuvKnhOkiruDsxmXn9vcJNo0IJG0GiwonsY0p80iX
XDslr+JrM1b8OhhX9lTNQ6FafIRoyMPycsAGi3qKEZHVK3UREuRJyu6w8cxBkilab9BEn0o2Vgiq
JEsQ0RnUIbL8sRqP0F7LmI7VOsGydQPs3sJ4nGEovxEiXoFW1YH/tdGuW120/bAJ2y338jVOvrls
ntH/xUZ2dtuhllrI+SE8/KryE3bvYmedevLLhZU5DywSsaPbxeVzE1U8vHB92aGxT9d5+FfZ+67s
hf+1XP5xF8FfS+b2yh8lc1sNQzwvAmsNQnBbj/uzZOKeA/TueLD/kPB+mIwJ7i5DPj7FLLPt6N2q
6Q91b7vG0I3Ab3sJOO0N+/4nJTPaSuIvY+8nURjFcRBtO3yD30omKp6IGSFb4arEzjMxtpP4SJm1
qDtYhkkKv5Zb54vgV4uTC73pdBwj72MRbgd8rdMnjW2GtOMAZyZ3PjDBigjvB+JzaBpFP9e7mbVF
ndSvugQc5kGcokuP0BY2XPVF0kWEOoNJr5GF/RJJIumo0StHjT032B8Fg0QgePtY1sF911X9FXpq
HC5Y3gFdKmHgP7zq1LX8sQxZAxcvvSHNtFJo2u+eI+cd8x1934/pAct5zuoBaIa7YrZU6+3oIUcp
hvbYOuPl0ksKxHgfuarOlmg97xJ5xxUkfWnEhYoSiykggKOf8qxk6puB+YRYFluKxBqJhXjlnlXj
HcSnHV+hyqMbx7IRWR2XNnn2PCzz1Ku+XNgIIdIybIIasWJm7Q5cVHi4mxkrIeUWXrS3JfPMIXI8
vDVztZy1lYXsGLHLdKhOKWlGJCfbwk7OW1238A3GMQHNXO211RWYJJCIztKE1OMA12eLnXctuQ5Y
D08XceMWXiOdpuAWZhnygW8+ER+A64rZ4C2rRrA63FMvfMZ+RVVCQQuTCaNJ4GPJG6afIEZr0i4I
SLZhlcVGHYhIbw1i4Ndj512Ma71iVa03FFUkVO7jM7y3WPAZ2gSpxCXNiRN9GXqTnsYFixgSGGLx
WF66alhgKDfY5deegRK/xsmWTy3EQt3vxIqJ1YuqR+T1w32/It1dYhVZnrbjzlbJhRnNV9hru7Bf
nqFeDscuWG4RmrfIEOl3/M3Yiha0GHNH7wrxURRRz1zXK0GYs+EX6eyU50sgXz1ZJhRL1XyYS338
zJ0uKUaIxVFhekw8rt1FTYQVePUyXLLFSU4DEworywRW8iTQjFO8QSNqa0zesMFSnxZIyaDOdnIA
FxSUOxMFiJOW8ikNNYcAjcGvGfBXwMCDUYgIkFHAzPAWE4YlMB23X4JBeJgXYaMHQ3JHxvhs8sz7
RgflXhPdtsBpzmLsjLMddlNzmM5p3cPIxCYN0E9vtR1SOLLJ25qATA9Q/fNoSRW20qibaRR4i+VF
2bgkT6QeTiKRSJ7CYh6bEBueYa4DfJmptxq8Yl0E7TUzu9orP9qhvG6lmbGCAFutFz6LLJ5BE5W2
PRv93i2sG49AXmzueAuSu/1J177Kq9J/qgeo5nE8Tec8dNyLQMvo3XXL5l640DrahWCno9dyLei/
w9znMLft+Pr7YQ47RKf/z3b6tTBtkR6s/gbN4m97af5cmNxNBU3xT/Ca27V7/ylMuG8RSiwW2aR/
rDP7UZi2i8+xaCyFXxWAqknDf1KYPjmaXwsTpFiMhShJUIYxKfymxy7DqrDMlQdXag1dKDXLUZtw
BF4RBFDuxx3OpRlaqHlMABTmioXfUK3OJwgFebTta6xXRNgmyc8mLVwYnz1oUFeiFR7mfFXL5Sq3
iHUqBRzd+dWk/ROvWIElordNWO97M52QorodB/Tm9WiwfGzwFYgX/7zvsA4VyekvqkkFVsx0EzYp
ll+wSO0xwppYiGd2zeK1u4pYcOXpuEgB3CfteGwiGxztUgIuhZmfLXzdY6V84ZPhAxnH21n/H3tn
sty4lWbhV+kXgAPjBbAlQXASKVKztEFISiXmecbT93flcnXaXdUd3tfCEbZDmZJI8A7nP+c7oXUo
WAHg+H04hJbcdnmamNCuUp2AjgGSdSXgpzDqD9bqxODMrqKnUevf0mkw16SDdnpfFpyj2QXyCFRM
h3i2jivjnHJbyFIAGCNRmXqIsNcrJfJX5tzGeYPMHNa3CTHsw5R34A9jDvt2XqYQHht5YQoDQsKl
6qEfLpxdzeWnQzDoPJj25xLz4lZBHl114IqrqG2+ok51T0mZ7S08FKTmq3kbFa1z25L13tj2yLvW
R5jZwy5cp1jfAK4WEXNuTWxhqGEiamBTmpMdXtXQ0LZLRc6mDrmb5oXBajayRsQ5uSJ1zpKdYUwZ
gLIYi34kIekLyG8xgeREs9rlAXlx1jE2E7Ml+Y7102eKnm0arlbbrjTyTWEkN2Qhj0uX3IJ32Xdz
uHhx7vwMFlBEiZ2bHBZiw5v7OdlogT1vAXdlGzWJHF4IbSZ8WbvbLoEDlkxNv3V1wJh52EA9Byl7
x7XX2faVFW0ook12rHiBN8hAU2sYyjXD/7XKF37TehICq5EqfCcEEJLMo7OaiX1vFEC16BdpfLDQ
P7ehHj3Menvpe7XYRIpDNryrPsqM+0gcCeDIxKkOlYuuxjECuP8iX6JYL97G1koeC6i8qzZyi93c
02SgT2G5whqr3eLZwjxSLdiKed1XRsNl1hk5AUQjJimPk8iPVEbQ1MQOgBzkyk7tONdZmcxiIJnC
51zlLmcoXOQ5ToUEnlsyOl5T5dlaYGG4LhoEpam/EzJS1WIOjteZnp3henc70K8/u2L56Aij+V2l
9dxTsuYUg/FcG5PgaFSLvZhHnKCKPWydoDDvdKV/Ik7SKZ7a9dgzI33SNGy51efIT2UvCjGIKMlw
M0f1VonnB00ZNdy8oVirg3soMExvxnHWUHp6Ir8tBhxI8BiW8ewUhXLAvbaLDeNxkFEIHBUPOdkI
Oykuo92uFcXmTPgWkKDoSzG8MOMAmQHiSYYsChm3cGTwov+OYMgwRixjGWGq3uh8t6iKjsNg/qxB
Hq+1JTupo6pBsLCfFhnyiJPFYcqb/2htMPZQrvcliRBUtxuc6CDWpQGnkLGRNNbA+g4RAMG5xCkk
4yUNX17IwIndAlSaZQhFq3M8YuF9RjpFJaVCnoZVUK3YoEmwxCRZplQIpkCEW4a2DH3SlnDqOCvJ
AMyQEIWxZSgmIx2DN/y5x7Do2Yp5cSfb4QZAjAZsGF8pozW9DNlUpG3I1e2goxYYCwM/kYGcWEZz
EhnSUSbX66bmq5XxHWtAKYl08UogJLc2JSmfQu8+S1I/RW+9EEHC8kMeKGmWj0kGhPoSqoGMDEUy
PJRri5cJ+xyRKopkvEgnZ5S64BWHUtsptdjNI2dmGUlS4vFKNclNpreMZUgtdY67s0kxaaSZFA7/
IaBy3tP1lGn8t/UeOUBT2rj/2cY22Zix2wzlvO+k7byXkQIzvQKXVtgL+nVmIM912TXHsQ4P4iHD
wR6JYoe+AJwMb3sWd2tkI6SSoLXhriy7AHh+nCECQFVr8cdjDfkKeqxg7GPKvG0dvXUYcqXZOhTF
nRo3zeY/Z6Pfz0ZYaP792YiWnPfhq3lv//fFXXpv/nlxZ1ytAXIAl4D99puZ+ofWzSSbElIm0q4m
mExLR8wfF3fnNwsNGnSQq1Ok8Sdbjv0b7h6G1Zh8ZLsOdKG/cXGnYud/XdyJ0ciQN8AHwIM2wsKv
WncROmwkg1PeqmoW7oihbKMQVwihjWNvD/N67PX2hntwuTXUhYnJ1F+KBMiMUeQfjamX6NvAQubI
2rhGM6/DURg4N6N6zea8SHVb96LOQaOuBef5ccovdeg+RxboLvCixnpSlyM49BsiW/IiyJarRNt6
rp4DJyzXAEhOSzNj6CjTYYfIdggR+lboVYfFiUngmvaJQOVjaFX9qoudqzvaKUa3mDl5865bJukH
K3wacqsCrRWF8Pi/r5HLSRT28xSAbdcM48XNymcxDUc3BdVmZw+KlZ86AiyIkdFj0cBRUzSaFoLx
aC/mXVEkvhYqrzpoGtJ1PiN5G+9SdVPZ5QuCzNmIcnCGFo6+iXEZD8V7lzHoKibMkIrdbWKxRFyM
MuyWzSSoIqjnjeMU/WYYhpmyDchuJGtofjB2ZQTGjBnrecwYyoXLqG0BwvqJqBkdDwmoWq1YK/py
MQLxqXfVQ9rPPpjpnHBfcZlM4c9RToYc9FpgtxfR248RIuymMucXZGDsLaNVeZzi0WUKlBsj5rpW
kHfumuXaTIXta1F2mLTsK1oQW5xOfxQRruuGcP2a/MRtMtj6OQvs3eSE9/XZjHCVM9EenaOYQQIz
fPFjm9sf6KhN3C0Q+Ixu2Da98xIJTjt9XRAaR3nAA1as0rz8TG1RekmHE0evNT9z4G2rHKi7eRcj
EmCGSj6axvgCo/nFiTzchbV5lqxycFIh/TJDvklQFp4MK6WWYXbYdhjUlEV9ANS4zyyNAoDIb5yQ
YS/dEJt5mvS1Hop563x7hgqr7zbjoFzjavzhLunYrC0VDIjK5HypoSjZzNJNpdbXNTdOV8iJrR7g
xnBsxzNNZ6fLgXzZTO+0FjwAufXA1m5UiRzh0eU5cp9LYzBgtjHa5+iH7uqG0ya1cQ8ztbTZyjED
kHjClG5ldy7wTKEHxopunT0YKcCBrbbKpakgkzMT2wZW62AC8Q1pPkA8VH1FGhJU8OfHGY9CgFfB
kKaFDvcCqXuwB3RR7CvSYKuoG3HYL8ygTabmobrcliWflERaIuDNXgI8ElGuql4lbRMC/0SGsNHh
p2jLa2yasA2wWjhOHuwnUZ6nACzzgB3D1csfZpvhB8CoAVqp2thkXD1lUlKPGzw+GEu6WGor9KJF
2TJuT5Y3XRpAmpskIdY+buKynlGieAyGPHiHrTCs9Lk+BdJLUmAqmSpzV6BPcVaNnpQw/Up7PjJ6
gW5YYUlpXQyD0qNCjhlAcJY9YOL96UojSzjx3BnS21IW4cakygflkME5slpxo+iTddJwxShxTi51
QE9wpGXGdpfAm6SNpg+Cch02WGuicTgNTepg+cB2k7nxfdTwNFtmqO2bLImgJfOO0xxB/9K8XMug
Iu+6kChqc9BYFf4eo256Tvh8sCIQTGhu2IAgowT+MHeJV9aduYskpgLTUErRCq66+pqbxjHDV8Ro
6SGQY2tNHw6BHGQb37b5tpQW+mrSmpf0m1sqvhmmLTTT/neu6TfjNJa401qCT51vBup/zgS/nwnQ
D/79mcD7yv7rDBD7X2km/MF/ngmM30CCs7tr/8Ay/aKZmLKdnE3f/MN0+8eZQJbnqSqivZDVVKou
4QH/0ExArhgOnjNASujvNgaQv3MmkFL9r1I+4SMOJS7UKObvpqn+5UTQBX3SZkuhXwqOyGoa39gh
tLZh/v3YCP7/3+DkHc43v3wjfhMd3ytjdg5A9KJZfz160JiUcmNMxws5hHTfUdBhbr5jLcCEWVTD
lLYYiHBaV966c39Tp9WjrTf0iWA1Wo/0Dm3SRkuPQ2O5HkgkysPmjhyQVUnDcPMytlW1zp2IYKiU
OqI2u6/4hmu9yi6lGhOjA2G7cmq9RlMe8PNzS+ca7RzrfFq7iDxrQiKLRAEiD2CJD8TgQ6PpvB7L
rtemE3c981lx7JNr9qDPNOMlMrNyzaZ/z6Jzp+QkdhTr3MXqwIbI1YG+vX3jDucxyEMI49ojCmnG
7HsYPF0GD/uhu1Lk4Y9m/+w6zZce2m9hPr82cuslvkOqdY4vVhMchZ3HPtbtnXCDZttGkqfXNI/M
YHaxY4brLIqOSGsfxRil/pCrlScGLL5ZOVWe0sv7Ooufr3XLm5bDMl1MQjcO2PY5o6KnMrxapG+9
rT02bXgqp7xfldp8Z9f9lq6BHbutgihEu9JoGuB0KUhbR7p1r8xVts47ZhK2++Z27HrG5PU1kY22
N9MVD4TnEOvm/Uu27Hc/HdDFgFisEzQZa48VkQWJcLJmz2ed+BTCsQnVQYv9VMsuNKokvmGM2yU3
T2EYhKtOM7cuRgrWYYg2igBiWNUEW5B9UO/uymKZPWNpn2KBzSykXYPhRXbfjv1es+AtNIb6SUyN
QMo4P2VxbNF9tdzqEz6xNiIo0SzNDziJP/QxI3Q8absyc/cYSTUSyOMW8e6aU5UGA0fc2AaBKZEV
n0tSvUQ2099clA9kfxPPrO10N/bGFsVqrSPiczen54NHDO8aMv5Gm6L6vUgYnPuLo3Tz2hITHAgV
rCzpCr0J25051oX0HfiaM8qLeDMdsszCODVrazVgrzGNH6Pq7mOLZN7C0YM2xmp4Si1DygWjpi4r
K5aRXoZcXproe4O9U0N56+TByqnfSbDfaany5bi8TTWpVAI9UiAaaGtoO4xyo1eOqbaHN4HUNQ43
TkMgXEEtsmKm8kM7xJJ3Nr6KxG43U1jBw1SDdcvcAnPhKjJbcBT40bt2N47dC71xbIsuE7JEpX+o
PKWCj6xRpBcco8dMUfZLhrIXhVG0WaYZDXYAsTvSBpeMCVzSXruj6Wo7ld1XSrZ9PYEJL0T1MjYb
3Kz7yISo0Sm7WdjvoDveFgvDClidlonTW2beD2OLcNUfqhJSEcaZpGjWus8hB4dNx0ZsbEbD3A1E
dhoNI0W8VMPWsJPOVzWk03Aw3wrYGd1Ujng8mga/e7XtteIWC8krMGEktNl86jrVOYFKMusHWZ4Q
OmYT7Bj0aNn/t4z+2awkV1G2C5kt5QIJZYGOjz9d4CBQGWYwi/lCHBFC6zY4TPflaZ90K+W9eCaS
uEemWAVH8te9l2yN/S8b3OX3feHXVhCpn//PbvGPb+/a7Dvo2BaizZ+/PWBNa1BEv1wGG8r53lVJ
Z05vSpmv/v730cnKAnlVweSqkiP4S4um27FnxRQcXbT4hnLRVZZ9YdIAYff/fJ8/736//z68nuyB
DMVtZtl//j41p3qr1yL1IqxjIwg7cM4zn//v3+U7c/vXF+3XX+Yv36SPVLXViUFcBr99wiK7GXbq
D8eTHuQTKOdwdddsEN99ffd4drxsdR5Osf/UboLNNTmMqx3D9ZvO4wu90uefzdP//fPp8sX8688n
aYwQhw0Men8lBGeUNAIyULULE4pzcFU36kl7Dg/4iDj/evPq8Kptp/W59sedZa3zI2iHK9KtT3Tl
P7aQfwS+eM3//UFyk/2XVzaEIf6FuMQf/OMgiVsSECdxA8Nk5/xzYRAYPt5CTB86bdscNP9HXHJ/
kznwf5KmfnWFSN1Jx/NoYW9Hl/h74hKZjD89R/hLHP4eViai53yW+Hv/8mEKgwkPwkAYwiyfRumG
hvzsKRx9V3bSNhcqRPFMs1m+WGYFHN/K6hWlBzb2ZoZfrTIUhyVkaEZjcsNWZz5zi7TxqjmU+2i6
5i8mc6Zclv1xKGrWndmXmzpwh3UtXd4Jdm9KEikRmpwIiIT96GIJZ1cpfAHNfmVjF2dBCHcNBnJQ
ws/BCNBhSKr7poyw4Suxu9PU8LPAfj4Z6pEhyhnKP65j6VBXm0RjJE+ivsK+no3xFkzbsi4xtiNA
vAZArDsBGy/C+q4OlFaENQWX/YgbmsnSh2hS4KHSM99Q+Oi75fQlSvGFzzXxmK0Q4sVq707GS6GX
xaHqgTVTm/2uD9E1kv58fsxPt8hvU8wljjFI6r4oy6cJyMaGpWebaiSpLGJTSOV+WCIpB1yWFyv/
Epm2mWTEqsyqrUnoivH9HdbJcEfM1oFCYtG4OC6Ll8SK2PTKdGsTbl3FBLliAl2DTHYR8MNiqJHW
LWTuKyEAllFSYYjujYpBOtYMMmI9YbFFpsYcdQY4xSTnMrWgSatuAp6XsSW6N5FS/VwkJC9A3Nm0
SU8n5yQ9I0s2bfMYia+OE3df1XN0NVL9EVEc7zzFoTvdgVsYpsbrotqrKida2z/0IgvPkF5AV6t5
Q2Gcku4Ae23GRL3TkDY4ZDhINWhc0L3iJ6l9Md/pnZWhcN82QnplK1FNwLDpw1WU8hImAbDjFm6J
UB8ol0W5SEic9FyMMnEw+4KXmPqoIJmeKyv+YRv5DZhmTPNaDUWy6TB2KP27mbcoHKbxqujZG8dr
YoWhvZ1dsyS1k+x0FeXMxuwy9Yuv6AYoK0yac5F6U2KTeklvRGBTSowXhz6M+3wpfqpZ6QAlcAQ+
0ZlRSRrSya0kn5pQXiwi5nM03WVUS8yD8oCg+taxXXJJcFd1rxzrqTmrRvA4FclxHnPerUB/CnNI
MVETPFCGe6QBgjiIHpo+vhEGIY57LnTzNbDHR5RswsZ4OAlBcKSm/PSDuPnd2CTnEB+tHsi8kD3c
jpp5Z8z8LnkQX5tW2wMpXsMEPYQkdXoxHivF+gjn7kleV8LCYgxs3UbxsjOafFWpRCvSdn6xeoiY
SajkqzRmtsEyR4SyVhijy1lVQKHreoibl6bND4Y7nFJD30fq8tQXzFUHGhMJV497cGDxmgeWCbOS
3TGG/aD3l5lNmjWrRThb2RC4YbDibHAdy2w6Y39skbvFRHtNqjyhdrNaTy1ZDp05s1xxWaVoM0nN
4VL23EB0ItJ+P8zXUCXFooHaUXkJWJOuxixOSe9+Etfn2bLFoy7Mk2HWQNt7xobDXNF6JZe4JloI
bKr3ulv4mQ3kXq/afNUy88f4nu1yJEMt65CA806AGp+e+yW811Tzw84ZDYW6c4JtjH0sBFjH/f2O
NgE8cGGqUZhpf+i0sW60IiPuKarNbGBtymPdlFwhP2U01XRLcJ/US7KOG+2hiIeCiKwdf1aRchY0
P25g8pIpjZ9H8O0NGHf8dj8XjsCbDlWcma/KDF5C3+NWAuC5N+fP+TcWftExr3dioPtFs46W0zy4
MpzRyJgGndlvVIe4qNGDAcF5eQmoPFnZpDtEp9TrpW8uZpydI/IfBjmQiTyIJoMhRtEcMkADaWhi
O+usKzmQU+9SiitkrCTBbeWQM1FpMcElQPTEGtHwUUQfDFIpNO8c6F59SmRcJSUCzU+zvLgyyVLP
T7k1XqsxufA88CKQecnJviwWOlwn3QODWmwZjPRcYLr7gsSMJtoDHc5HU50eC52uFpI1goRN5ZoF
Tiw+1TJ8Y2eCa5kM5NBQpDOdJaRTqAR5WGM9Sj92BTmeRgZ6bJI9YSJI58qwDzEDhNfvAFCV7BcZ
CVJS+la/Q0IyLoTDRN8zF45xsxEmKmWsKFXxOQNd1gDWIhPI8NH3YeQ/5V/W/znye+jB3eX/Kogv
/9wvhzKsTZx3hK59J1F/UffU3wQnahQ8Xd7Yfk23OL+Z5GFg9ehCJmLkUeoPR5T9m+B/sPMzJ8QX
9fdaHMVfrLocaFSuT5SSaTBFTePbSvzrTUobLDzcWG5veahJBWIQHNgZJ4zvCzqEP1iCdSHITiZl
rr7FVVhlkh9X3W1EjVSRJR4Mi2uhcRMwtAMi23vaszW02TotKIhdNKqkzN0SMaNOlXJeR3b42s7Z
dQiCdAPN/R1dlJ0gmutVkGEjXzgvHPOZmr6MJlhOfl3BhCRCrC6dG0p8L0iE2cpF31stNuF/N/0Q
iuUbgXaJpvKWxZ0OSTd5GbVBYBQWt44FAkXvU/JoYGNue1H+4GQEgXyK8CpFtlhTE63trRmbV2fv
jSB/MObpazaXEzvZRxa0D+M8MIPKwm0p+qPAb0Vfmbi1SvuQYe1YuZH1aChU0pfd2wimuR1IPTSa
wpbvOhf0Hdh+sIPG9Ixg4VeKFuDLxFib2KRitUZ5dnFLrcoFd4+V3EQNJPelmo8GPUf7Qp6B83TR
/IgcqE8j4Rt96xdr6G/M3inPVX0Fe+DnabyZbfoxLNfvjekO6OlqSiAzG432bmgUOmbKC6aJZw75
PsWW7JjDaO0ICnzEc/9YKarh5Qt4GcJ/53ngpavT/qpOAdCCVORPtYlVpnW6VccYdmXU9nBGn/WD
MeCeZzGmmPvhPsLMxL/T2iLazOvq4qnnxwhqHDBprJCqHTmCxuyPjaNRqjQf64H3gXZ64giqkxF6
dNQV2Jm72CmP4xj8MGvGXrEQD2Yp7hTgWWulEzduThqpt+yIKDTA2biJ7hQr2FtJZ95wUkNIq5MH
7DyfjhrTIJxfcZH/QNV5Cl2sHagmzHz4pXZVoI3QVIi0BOUUrm1d9w1TWpbtAGU0Tv0q7r3FlWyl
dKuawy7VMXkV/TRv9Lb/wp5SeaYAA0PS5gUe9MbVKgmX4NWWhQNrTK90aUxauzJaRDiUYTKYmGpY
v93qhMH7sV7Su6Dq6SFVk4YoLyHNeHIcL+8L3EpNeVTLKbvRcsxzTvsSC/vGMq27Yijh58Zuvla0
ZdmS6IYcETQ0n80FT6ahv1VFfe8MvPHWGMJjXM5qH/wIBoXa+MG6cysHV2CwG9k2wVUGeztlwm/x
0K9ID/jT4mTrRsMzhOTOsW8kMpXUQJWUZX4PUVDXVgsuMuMVXdF2cOgG3FKp2MCV4awju7cYOm7h
/uQbZFeFPplIUmPC5Z3m5vduEA/hNDykGZ0rk3MBG5ZiFMQePOrgf4xYeZodhf6GDID70vnRPIhD
HNfEtmS4CXWJonkFTm2QzwezxdpTVeA3qVECxG1+6VN7ylTlNAF32EBeKvDzLe8cKnZz1VnrUuRE
eW26pucRX9PcUM+g1+N9bo8ll8RO2wZ6SISLSqb1OHCQGnueQP7/Tz0j1zTDo8BsgGXNyZS7ule/
2pxHwhR5jN/Zfqya+txmkARRlL6qSr21ldFvE2b6nPRNCZXQfaElPmfS5ibQ1O1UmLzbvOLHuuCX
TgueJq6oryblN36psAaHseNCampMYrbhLjDFBCtxfq9FXG5dlkYzjf0a9BB1YOaJTofbNsMrZ9nY
sOcYHEqSj7gi8NK36jZpzIdqYa0stXstZGRdLgQj1NJ+D8PqQIUD5YlmzPFDFfAh+0dFLNo6SOIa
rACj9sbioU7b4BVM/mvT1XdRazJvz5QdPn4qUlngVmbX31fYDbyGutLeUErPMbBOjbi2Oao2HyAy
WSpgZUXuLQvdNqyjfKWb7QN4qKdU756b2oEmkPbPhNnVnaaPmqeqenQkajbQSRNZ6zkisFWGNZwy
zdg3bXJfCAM/J7S4INVex3RSSRUnvpUhKTtuKnMGYEwb/WkQ17E9LMHLGB/NyLgWWEccSzyRHn+M
jZy3pui2oijPelWCgsm0Fsi0+NJY6NHl3csQc2OvTSXYKRY8O1ss8SazYyo0TNMr3fGmrbK7gYmI
PWUsv/G8gc1+D+DsGJUzFd1h/2xLI4Nad4e6O8vWxs7qZQFheDFng/7E0o23et3g42jiZzix2yxr
kptCYfmnfOnkzrbCLLhPfaObIDvgVVm1Fbc+K6CvvAoPluso6/YbQKJ9w0jm3tBxvZZfuGOi01jQ
X4y2nlv2cyI5JjQmcbnu6oVz6zfnpOV9tmfAyaGDLyUOZCamPQTd4t5qRG9u1UXBYtZ25n4AEQhL
HqBKb87zdpG+iagCfM3mkfhkVP0cc4VeWXtWo4PAdJFC8MBareD7YUTxFNsVK4R0aZitsouwbZhm
KyPz6pcx41mb4ULM0BC4u+5mVfFyrB96qvKr8zO2hlZ66ZR9TkwcVhikt8QudRLdeHmLULxEUz7Q
vtIlm7GOKNVty5WuL74YFPJxtjiGsqzyA5aoZgZ3KXYVBWcSkDSSsNUUAPDPmetk6iMvP7s4dpdq
Sg4QOG2/gmsHrneb0AnvYVkvfLK55B4bhmox3CYGMuNLgRERw9+9Zc6eyKzH3K2J/aHBE8zcj7hw
mji70FnKjQ7yILSKB7s0P1lcL507FozreARiPD2EjXwWOG07mg1bttaeIbJTybVou0J0umw+u7Vd
sO0psgXOkXTeNBNkENZ9iQXGVoQdfZNLo1ElMHjEpf6+0GpFP+m4tWPqMTDLnznkvjT4lSY7s9dl
rmxQ1tfW6LyytfjDqN+BeTjyyd3RQ0t2Hw9UBXVjncQ0QGpstbik4qADfFE+W5X2MkoblYWfqtUn
poUYrMbYVfB+oY25uK/IDhdrTcn2C5BYszlNYehXo556PYatSDq3hCIe+2o4LUzFaIH7yPB31Uz9
eNvnm2Fy+t0sTWDFJE655jBry1kI8YmpViy8GudYWuo3I06yXlrKQmkuE4t4TsY8xxilLl4oLWjK
2OjeIG1p4Bxxq0PTWll5gZbY2ubGWZpdKw1tjZp82Ohfawevm121mN4aMKyh27Y3eY3HDU3hmCXS
tYpbLs0CZet+l8nq38WyFEsu5gP314OI6Z0VUbl3OW1Vq+y7lnb5rqj9z3Xsd7cFgvG/F8l9vL3F
v1LI+VP/vIxBMaOKxsEeARpVNRHPf7VfgtvVUblVvsL6hYpmE7YEQ8DIXropvsXzPy5jFs1Y+C5t
y9bxL1Cp9XesFtz7/qqQuzo0EIhFtmYxaPnuaf5lrJXmmPenLrDPwJcPYVcPxakb9Vms6U+rqtIr
4n7ZOmPbrvMoD6en0o3Ak5UuKEVUuuh1Mtr7PKpnL2oLzlVdv6WM3GMsyrqkFjpZrYxbkZt8GLjY
0E0srg1KW3vFYp25xXaMrZXXcszviKM8j32ppdeOPMg9UYGdSyq5sANcyQgrIe2O55Tax3FVD5So
5Er4yhErugTfGecom+2LVTjMvk0A3cZKYNYsPfYp0tHCVgw/QDYaN+13frr+zlL36KIDgJzxOdVl
1rpNS0L9STKjiDanMTEPY2/dWSFramAXT+qSPXxH2InHf+rS/Smi/iPvqAFrWPdNzfiIimRZNYp5
Fr2OoXN66qPYWhvo8wqHViVHkQml6dFkiQXHCZSnLfjoa2b0jMfOYWyfYkOz7mmtuKVpALa5Ev/Q
Xfsh780v1UziTQvCdGU53dU2UqRITIccq0f84mGVvs1AIlfpGO/UhZF5LZ0PeeY81Jmm+yXJcoxr
HfUJib6LALwVnPK8fIz3RsRB2MojG9M/CdEW/gFx2TpDx5kPRqVfA7qE19BusISa+q5MmfuTSecu
M0/6fh40PBu9+kMtCUf2LbeEwAowFLbcFNz3MCqPFIofWwPseuyQLDAW994OMNi7UetPgfLDcgFK
qNMeitw5bMhgkC3yqoZDQV7Itvug+tmVDMoFQf4VBROfI5ADGKvFC490Bx97sHdCTmJ4vK44GuWl
sTx3VqIg4xP1c3G1EC5dhZHG7UdBOEDgBPPZWGvSQq3MH1ExXb70ic6lKOwOHe9g1/Y+BWTxdrJY
sIVal5uloONnmG+n2nrW2u7sdvFD0lEzHqvtUx5Gd5EZgUdV+60WCoUyagLFQ9TczXbwQDjiutQ9
HxGNckLK0bjFx/FM92dw6YNlN7OM741J+WxqJfIIE6bb2UIzXDQ3wwMNYDS02i2dr6anmfNyKCv7
NpnL2S8drpdVXxhrWKcdYZ7xBk/uD4rcDjF5fUj/8UkkFXwO1T5SfaZtVTfLQATWMO7oPza15J2j
xOjPbnfrNubLoETqmo/6QDlnDqC3hw4698sqrcq7fqmoJbdh3oNwtu1pWZlFSdwkHR71cSl2isnT
GUiFvc3ir2zWF7RK+8UarXsdS8l+KFNMQI2+Z2pneIbj3EQD4SoBPWet5qbpj3VyG4cChmJ6l2fc
+SOe7THiIjsmKRha96KHRe2LjPHOWEESxYwyr+pCPIyavBg36s9AN98AEnyqhrUng43sGnKPCxT9
i2PfU5tAzMjz/CkfO32ju/39PHMLi0X+Ws7mEb7vbAEpnblqHGxzElcjcSCTxq06cxGoP4yRpjzd
gron+V69VZ+EMnWbJUVpGJaPxtBfa8c1dq4KWr6CabIAgPCcLsKc2xCOwqVfoN/MnyCC2r1qd9Ss
dKQnKjXj0FnOq95OE9Za443z032Xd9TkRQ5e4T4YvabH0ZNUVQExSj0P+IU3mGy+hmV2PU79pyTR
YQ8HJQTntOAWp5gIV30N2V9lgEYG6hOnU77WWpCLajBa53iySLG39YQDDdKCodd3Y4GePDu4xDWC
uWlcTLxPMVAsY/ZiK5m9OYmqE/fX/ZwHb3kx0SihmPlGt0lcTQZPa9Ukn8IuGIoFybKxisAPTWPe
iaKp92Vl+iknSg8ZLPMdhzkc6+Gy5Wb01jiWXzQK+ZVgWzJBuRL+FvC5YhcQ08gdq4OgMikFegaA
uyvl1pVPInpfh8ZNQpO43+WJs2VsCbiNPOY6GOb5AAP7RwqvzI+qzjjoHIHWVoXhmKKyYhcVxfK4
jDnvzTgrviWlJoVZyyrUMbta3UB5a4BkoTnUCFjDMczcQ+AuRyUGxEJBbeMHKS71PPAITN47ii1u
lpbBW9RzEGYcc6n66AG288yGqGU+TDTS7JHSrBOj+xR1TsSO0szt5OAnnLUQIrmOFEd++NLF2B8D
qoXSMh62VbUcqQO5gfTmUWlwGRog+0ZS0/nFyBj9qDm7VvLpEInI2oD5MAQgbP+KBSbPAqvlzJtA
hLiAFuQrVR2ftD59L1OFFHR8n4J1W6uYXjYQEsSqMauvjLaFMFdNvzNMukJik7+S9J03ZuprFTMM
G/r4HLg9dn1NHbyxbri3BemxcOgeSaYkfKqjDDpb8CqYba10Prp2lv8krvhqGQTMo+5cfZvTuvwz
sHR3o7k4xaA2P6G5Yr2MsZ7pinJd1Er1lP9m7zy2HDfSbvtE0IIJABFTgj7J9H6ClZUG3ns8/d0o
qdQl6Vf30h1rqlKSzCQZ8Zlz9kmjs1HiWy+K5CIFn+YJ7lRb6znADONzlA3uJP8kCVje6dF0xAkI
Kz2h/rfzJ/g7l2NO/+FMWYbzXXi8oceqMS7sFNxzKb8GwNErh4V2Xmk0mvEnWsxt0xXtrnGBpZT8
61Boj3qsn+bgIoNJXXcu6vWENKn4W9hw+PYaiU21e8BwunxqZEBHXB/nZmCRlvD2ZCxOYzbx48zn
GRc5W0pTfFqMUVeoUu+iOOB/5gDvM/qaOmUgDtgTX4iMdlRur1Rgh2gkVJRKZ2W1znG2i8zrCBt2
KkaJangyLB68HAtwKvFFgohgZ2Xtu8DnEjAHIS0LLiEz3KWIMSwuPKDkOztkaDJJwq+S6KEewEuV
DeBRrayuy0idyBZF1EpH2GmM49yY+OBZZDtca6wJzXjjGANDEatEfA4edovVllX8jN4SE85d1lf8
ajInLmaZQco02mg5/IVc1AfXCo/DFH+F8BC2wSCvQKXvinnXKNiKpA9O+doYT1JL7sOU1D5NiMxD
lbwDXs8QjXkWOaXfLLkA34Nv0olOwuxI+/D1kDeregP5xyTEHGKbi7ivL/j63AcTKgfWaY9G6WI+
KFayqTdyD5t/b+Lv7dtkvYQg3kByX6Z1eeQg/xe2oT2FfVHoHqTFpj4iwRxAL0RDL/stAAltupl4
d3J6QG0tfMR8weyCiWcCdCygHrLR0Pi2afVuVgH71ULbaoAr1nnCjC4S0HqypFv7ffGMg45UKtlX
rGMDg9jI+MGq8zva9nGLuO6riusnZoA2djuD3zRqt9DLDqEr3sp8vB4jRdaIu1AvojbzqLsaL0lE
RU/eGyuNPTXXCcuOROdiI6HP4f1b3jtq804RFqPCU1WD7k1LsR5b97JvGah27olGXYFhiN8M8iwb
JU7GTARCWZTfuFtwdafLwkU+NFEkji2TyRlW/W6OGeVNvdyLvrvGcUW6bUgqC63EirpmWDt+/lEP
2d4ivtXD3DxviSw/iSq9NROSCVt6dzsrhj3n7kkNqFYnm8sOz/C+6/lGxyZPCLrSS0TarBroDHWD
lRtv9a40qXaVkbwmVcR25yopE06AaTWM1sGucRIr2V9qTV6hGGmvMjv+wJ+Ogs3AYjZFl0WgX9pg
T9K8vxTmlYNyQpsJO6+14NjrxVMyBIc2jF5at30oVYFqk+RLWe9Gx71DpOpR915OlfkawapXjcbJ
mAWHGebaIe7SV17gQ7hsWl1qwU3YltEFp8KryIr+KZuZMBdVfDESMLZmHlZ4Uzafh37C4uMYz2VP
lnac3AxEVSalxLYGfj+b1EtqF6fICp+yAUnKvw3994beQB769w39vsswmX+0fxW9LT/3o6U3rV+W
lh2iBNK3ZVX6U0svSA2zoSSRO/tbFMtvjkosEgsXmEAxC+2o/Hm/CoxCZ+0qsCL8GAT8A0flnyVv
gs0Dm1ppQF2CT/xnOW7bYRR2C3u47vRjQGD7BCFn99Mf5f+Q3P5qwfijPlNnoi8UZF5z4amzff7D
ChddQxwnTXltDRgVwODZDdLk0DJz6zrUmd4tQvoxuZmLyJGXYRi6z3XgmsmN1G02siTCmEfTKb1m
LA5VODLNSzeOFZFMYFABzxZZEOm1b2sMqLXD1Cgc0MVdqzNJnkJjM1fu7Rg1e3Kks1WYjVsYbsba
FtVRK2F8y+RbOiVvGoyCriwPeLWf0XZxf0XhVdA2G2mmBzdsqpUx1l9c5rsyjYZ1Sv7hLqpIvdAQ
STMnH/ZVz6HaufED1NfKanA258+Box90hX7cMsojRPXPtFEhQiCBKCz79EtsWTIroRjrI2QFwnlJ
tzoxlxvWMl/EIIwdkeHo38YmP1pCy+jm8vveCGDDmQ/1SFagGbVPSQZKJ5yG98YRx0nU+baKy3Me
jsNaVa61tiPf9vyivqsjlmKugPMbTNY5C5Apto11kw4kfM1996zF1nYe4AfZJlHC0my/wJfSbkRm
gSO2wGIjLtyhFihg4FmlSRXvHR14BcVy4I1xx06rNNmy9ZJVSzk/GVnBuIBJQdFpt/bACikzgStm
ikmrTF60ir2ROZQHxST8Mm0Hw0MCdwRBCazZqAA6yeAUtO8We37VUQxlAxEWY0VJkuZP/gz/w68k
HVZgHGtJBEbbu7vZtd/LCOHTMNUXnSveZQM7ScbRl8y4LwIh53XVqnv0jV8iGjy9ij6jiq7YaOJ9
aAI6NkbpFUF23ZvNNyOOda8WzEHw1BzSKKEF7tttJBdxpIVUXjTtsAHuoxgpd9eIeh76gIBfLW0J
zQrrZVhzF4xttS7coPNyH+mWwNPek6dJPAgNl4zvTOK8kENRA6j+KdG5oqLJ+YrZpdtGshj3EPdb
Y4Ljzg+Tc56ltRfEUelxrjyQtnuXC7uEd2xdBanrrsMiHPiwjq99nPLpGSocl3C4aMDnl8TxMXqA
LOjj/FOAadn2tf6QBCkXM17AUVsy3oOWhk37ajX5AmsDPU8Seq5lMIYbv/P33NkpTIyxJPqW3y0C
TP8rny0bMxq8RtW9HQzzCswBn3KVJg8JqdsHex7ja8ca7qvKJNGy/CR34xAlZYqdtvww2oo5DF0Z
8ijax2RomY1H8ZMQLaADP6VEfszVZtxNLPFP2ZKYoGm3dRerJbc0raApZMTv9fh4NXdkKK7KwmtS
217Rw3iBVWK/sM7sYzPPpWfUwFmUfDcX1+hlU7jPobQ/I32sQH1R+wj2WVlawqpB5SDFmzZ2F0ML
cc3uXoJOYGycrds6NzYYWW8LtnyDod2CnVg7WvBoJs5LI21GmfqFGticufJ6Yrk1N+0WBYMH1PeD
6iSlCIvXSdMmG2gKXoLB1G1qeMi0tXXZX7rEt9UVUhJskmvGgsBYFXVpzGLA17Srqa0fMxYqG99s
PhtQzWY1PmnNp93xSewdF6kAGBfPJy8Orak/EJwXdxMUVr2f3Ec36MddVdWmFwfsxWxZtuVlYlnP
WSHwqs7wjvs80Fmic26tkkKUQDPRlezaqag9yVIREW/2mFTNtm6H52FIH5tKe0HEat3onT1fc+FV
2zqt3irTOIS19TH68mpZ4ymArQvIAwk0Te4awqkkrCWNttmcqXuRyekcZOFdFATfGK9p3pB06UVN
ZbQpsxZnSM5gRbThS27yLg7hfRQVKHws7dj1zTPk15m+mlWpv7h9Sl4fgBDuHk8lnAHEYjjrpivn
K439yr0TM6OYSFPfBDWcaL7lzZOvGjhfrYuoIu/kukpbJBR9v++NdmD3DjbJyooJ4qgekh1LpGXQ
MqKi57T3Q6qMPcm41xjebxvBJtYxdnEviLvVfCDlDE1nx7hH3/tcG+NdYNfOASfeM4tZ7ObB7F/+
92uXVcGfTBE6BiiMtI4Emwif4Y+XroNYyZRm1V0XEvancRXLe4dXzeIc4MHTf3+uP1YRlCnL0sEx
UF9Z8LMMF6/nzxd8w5awNYdmuJY+dM7HCh6g9j9MHv/rKZZ//2nzQGJpmg5dOlyXfDGh5a/C/lWU
d/8fvwe6Nd2ltjLMRdX285M0YZKMcT4M11Z9XxWnUYPh/T8MSH99W/hT/fQUi0Hpp9+jZWQRGGIc
roW8y+D5ZeSoDle5+xZP/+OZFrfCH6uuPz7T8kp+eiZ0Hnbm4Ji/rljuGzmzWfPYZXQKmz6Dovtb
BsjfGmT/6qxa2NMwKizdsgjB/ZN5og3ica5bY4AZ82wgU3IR0oQXU/b8/S36V8spMC7/fa/xG3g1
favf/tpuLD/6e7th/GLqkoUfezpM2w5f+983iCb/ZApLWt/Ti5da/wfAxSXDUTgWe0XhovdcQiF/
bBAhryrLMsG40sMYuHb+yQYRVOsfPpWLx4b8ZIU32rIxaok/NxyuERiIRmxCbXBlrsyW68cYlhiy
MUdpM8IiYD+/BSx0wGBLLUnM3kum3COp7lup2l2RFpduVx1iWyPt3N/ogiEM6+3ilEYuKsaofpx0
8SwVs8Dv8RS4VDf9lNw7tX8V6yiWcR/geChi92ZE0RDgnI0J6U7h/qMGsgcdLY1+OYdRv1az6Anu
JlgXIzbrML1FqGiozRyjhzQC1jGSVCCfXRFQ9mKPTSBba764HKeSVCUidYk2b+x1OJKt1Pf6A7fI
2o2nzWC2ZBvgXvUcAEeYgex3h9+TyRuPWyn0/F2PgYZkuWiF+fRdRST/TT6Uuw6t4BJocGC55B+g
bgD2In2jIMx9x4AwvbBtbTj5UYiwu8/IAK7jB3KoGIylkFDrIL4qAK0xl0dwPTOwdbr7OqocILfV
g+MGVyV82BW25ZMYowpGh78kwhHummucuoPQKw81B3KOqjuDCCQnmfiKLZiJHbrWo52bj1nc36rY
53UzU1vNg7F3rQqRTBJ99IZ1DvL5EuUdKjIXLl8X189pq3l+h84ticpTF0rUsTrA0yChs5rH1iNZ
I0GFEls0GTHSK9PBK+rcJD45vBZXDgkrwaaicNgOWvFemchPSE28NC2q8koDaZ6dIOheGWl3YVkI
Lci2QdfJZ8bvmusqQrgOOhdjMrKljVAFG1bmsTF76co6uzZ29Ba+lge8tdjDrlknpbarY+06GYvm
PBPjwbsXgTaUzq3pmGdVppRtUz96IhOuZyZkaFnI+zCw00rGCd6fdPA3TdDcj2oMt5Th50D4r1PV
M0zS5C5oLGdtt/qjqKrXGCHr2kDCPFWtA4Y9uMEefTLGJfZyJJNRfdTOUK4z2K8QYp1DUEG6mx37
1HbNVVRQkoHXdtP5cxrTZO+yFVRJ+ZjA6CYhpL9gkyLOeZeUx7hVL0Wi37Z2DcuVmJsKoOIcbOHC
rssGQEqrbWvdvCjS8DIqiuMYo/QpkAhB/1gDdO12qd8NB8e3v2ZHA5gS40neRZ3v9qz8+vnOdOZz
UNXNDojNsA0g6ZM44vC8gna63g3u3KAPDvfDbF3X9kujGajAOvWQK2OVxsFFvaDQs9YmSBDIH/jz
bjZJuyR3cLK7G6LaaZUB+psYpLQIMYFf+ddW056kjSE2ke1F0UW3sKU9ZFt3c4ll3ak7axWOYA7M
Gl6kgOi2U4GBi5ogga2VOLs0iIJ9RXIQ0qxQborvsIGOT05eYqzKGdGsKFqv5ag9uyL/Kmr9gxiZ
xINN8zjnwYneDfd3xZzUXtKb9QW3y0T3m1wAvAoSL1pajgldv84WSG/HcuoKTOOntQB8dUi+XbP4
Xpzx1logvxa0X6PItpUgrRsKsIQGrJbWlumI8qQAFTx2wVO+wIMTKMKlnIhoLNZ6WV8rKMM6sjdk
UUxM4Q/HLiBikm72JMKpowujWBKFyjP3ngUHyFgwxuy4m/W8oI0Rl42bSjPP5MEU1y78YxsO8rgA
kfMFjeyihjcXWDJVLkAZ+Mn8ruj2kkZ4KqrewgWy3C64ZQfuMja8r0C9R9CYG6jMyYJnNvkKsqpl
kAK5GUzlVl9Qzv4CdSaQsl71C+gZi8gurEA/RwsEeoIGHfFwcsFD23ZwTOFFhzEDE2dBSIsFJs0b
ClbaHG/HPF0bGYt7FvsIP2W+V99h1LKGxMTI29fWibQuQoXri3X/q97MJGJn4LEXrnUgxq0WVncm
wGtnIV8HodNtxoWGTUrNewINw9MQXtU2eoi+qs7BwtA2zfKuA6otFrq2ZlW7juGLnZSXw8LfLgFx
B+14q0/FBufXtLVBdRcguzWYjffhPHXbAZx3ojo4ea6LSBysz5wy7Pq3nvp1dvtf66lDVn7W0Vv6
12LK+KmYMhjQLpgCPGtMvKDL/KeYMpxfyNA2XJqr72A7fupHMcXA17JQMBOs9qME+1FMmb84uJWl
KzDTKJa1/0iOhbzrT8UUhndhmxRmdHnLGPdPfZcbVnU+atV0Hi0kQlsDurV7Ll34MV/6POc2oyty
tpiWWMg55n3hkA+RM36M6QgdgbjfZMkiscTta6N3SaZwzPdAZyNUKP8NWM0dl292PSUAS6rZwX9g
cy4zmG7OheN8IadlgpGBAzdyQLPszq2N2wApa53BhYNl2KeZRcdBy9OW8SkiA/JpHSRXcRzUl6Vu
oHdhd4jwJbnAZpavm3KYtrXNdLCtEiy3gGA8uDMc1sjOLkU/HYl1OMmi9S+yCLdPoilWMoqalVml
AyqXKLvtqNxwjf6YdQgzM89I3CXLkjO9kh1cEqG9pHTDpTPmRzfs7g0n1BkesWBjkVcSZDFpl3Xs
vA85g5OqcI1dYcdfcxy/sq3D4ih6I6NEdf1TKeLpgSW1j6ok5CtvFYcujD/bYDZfGCMi4EFStu2d
tFq7TUpdMi1xwIHKyfXWfGPjDLp2FOWon+wIYXcEk2YV1J1zqvm6S3Bpd0yWufCme62Ey1eIXOx0
Wdy4DmoDODqwAnXhMO5jKj4nLE6FPoA4nhLtZITdwmivQ/ulLwOUUrqVXLQ+guMdGFsU6iSr1U59
FfLe9RCWo/NkMANdaYGxFAcxj8SVorT2qpSqQi5mckUcynYySYfu0ugACHk+1n2uriI8oRXmIMlG
k8PQ8q8Uy02Wi2SL94ZKTiY6LyPI5juyj41x/e/p9evpxZro77vBQz79H0LSZbX0ow007F8cwcIJ
jIH8k5DUIF1SYUrAvfcbsfz3k4s20KFYch0Xc5+Sy3n34+RaMqvY3/yWYrnQP//B1glg6J9OLuyE
ylpeA0RFC2zHn4YTVpiWRtC77WWWOOG2KNJoPRYZs/mbyaQ2Zb6rQn92NiLs9RCLaJ8MG9toTQPL
qDnl5DZhH4G/L6NqwrqGPNZeyW6glVoZo1OByLXT0NrBzEKySmhsGjUIhPy4N+nQVJG/zjUQ/2u3
61Sdr13AwCSv2fbQjEi/q7h5c2eQkjNWYDiU7PTHmigBFhthvYubUp1JvQkPATR19OaDeKgKeiGJ
37bqCjjpIolZ1VRDf0G+37RF/ZlfurhGbg0nGb7puW2XEBHC4Fsv6nGbNjQpFGMFq4GC2kyzxRZ3
fIhKEW/VSg7WdGO4JkGRXTGck5xIJwMzMEVW+VUMaFhRMJj1G9zexktbBA5eiEzmEOI4uzeHCkFE
mNvvck7Vrg/TgY0KxDGakl2qCetWzjo5dosUNCWKWyBUgsxrty36QkefLmvAEdsExhqhtgZ7+aaB
mMA6y/rG29TuK+TqqPRLEGNKhearNVOch/Mc4xYyO/Nbwsz9oqua4DAlcfNs2Y0FAdBErlQyCJ5l
1l11ZCvxJ80PFTbVO6OJ9NSLQcudieZSVJNFeDktmU/BZEeX9pIFpQBlb+JZycu5YvKaVTkT3imr
vdAKpnd0EOkJB3Xz2BGKBloxzmFzRObZsowUbWbYJKgXMQYaSwgWCxaNoC27ubYiYuSRJhQXqJvo
jsjcQiQ0g5zS5Layp/FrEIS1yzILjmMRCV5b7GrnyHf0YxY1oNRoEahgW47wapL5rgyQTwqk+avR
ril+Z1P5x7TWnEfWRE+gOcyTqZFBw8v3t1oCKIxsDZryutavpjkEmyWH+BBECGPo2mPWF+V0Gy75
bX0zVJsp6sZN0M/+toEfEvx7sv5KslmQT39/st5/hm/Z21+rwuWnfpytJvxCoIWE5S6s4+9y+99H
bBawGiLNWerovxWMPzb6+i+UalJKoBG/CgH+c7YqDmTYTaBnTJcqE5/1PzhbbeOPI2ZGbMJxbGN5
LgW+13G5Fn4e/IJNsPSUl3HVqzBp1kRHABxGabcQ3jtQ70YLEBlF3ESD1R3GhQdfLGR4A0R8ayeO
V/JN2QbxdC+1grYlhrmRGxxu2BM3MbD5wFyw8/N3BL3jsNtdW4DpG4wkt2A/h51TOz6JJxOjmpGl
WGVaXun29dk2RYcZygy3o2t8a/3mSycubl8O+WX9HY7vFCgVI4D5E+B8dyHoVwtLP0ig6uspptNa
OtSFC3M/wBOzmhQrmIxXJcdkGwedtjcWVn+8UPsl+H4jN0fQND3zqDaP+73TAOJjfOCvWisJcCWR
AuCbcQGkjWSAdskIcA3ui5KnnyMS4GoXSP2kGNLN3Jer2pIV26bhnLoME4vwiFhw39bgDtvchJps
VRdOwMlStD2AEz++LWzUVU5BwaeT/eAgJ4WeihsNTCDCQGRl8Aa9OnSYY0ptsS3dqbrel6EuDzbK
zXpIgAI66olB0HtRF5cVqZJYt8MjXca13fr3QY+4YBjqdU+9VZfioHfqbDdDszYbDThhjkyBmdRz
PKRHJ49exrhtvElpX2Mg2WC3hAym/audq88yd6sD22p833krIdTxZyGzgd4Bst0piijp2adFrzBr
r+UUPzLLYveaFcAZc3vcaJJFWgbFkCjW5olowRfpjF6BQwnsBR7EKYgYcKbVY4FvfJvpkBuJhgvW
jT7eF0suQmrCDIl6YoHz2egXowfcWtFdlw2FuO4O8aaeu3e4S889fmm0C+RLWsZH6SeodfHKH3NA
P74mLaZWbr91RsuHx00udMLHddcRLbcCyURLHxkVaj9hHbROqV0giRe2ZMEXoZBfU+ysRdJ8s0oU
jqxNMVbGkIA7p/ka8pLtoT6xQZb0JWWepNtodrlPfPBQtVJeFfEd8UfQxH0BHsU3Ks9KEfVjz98F
vaPWoRyvrN7fm3YODCC/chJ50LRo25kHZnP+cFY8ZiPau7IasLpgUUky58lVYJNypLiDhZ4adg+w
JAaWyBaavH12U/oX1m9YEeJSbRrsdnRvrVq1MUlSSXk2zW7X4CBtgo7Y4eDUZmWGcbXxInO6NtN+
Lzp8Eu6g+LSP41WWmvNR6ulL2HDbOiVaWH1wD3HlnkyVXUZtSdlgMTVtEJwVScKF6jBLwizBIjcw
okMXRyezi7CFly8pVyz1S4Nk1vAfhGs/dXVzZWaJ2KFeUwCDDCTbobDXdU5OQhi4TKo7mhQCX1bK
AaqlTdnt4PhPs8/rq0r4eTMhDXPLzwVZOrJ/TdfAGg/+XH9WuSU25rxwnDG56vjbEcUQtqD4s3p9
+900c9MOS5xK1E1LyINYJ33t7JNK/wIxeyGi6BQtcpUxZSCX5tVaz6KX2bHufSoBr0Yq71UtUIQk
Nm5tqV4M4OerwMpvTA2BhTHLL0d1u3bWFpMBu1BiUW5qpqN+bt73YXPWe43+uZTHqKYV9N3sJoWV
CUBKO4ZD+hDZLR1qOx6dCVxSkE5gG01cJ6w+PScfEupDtA2zjpggx+hgwwXAq5p+sTy+r8qAYaLB
+Av0NnKHMP6oS/sqKEhQ1uUwrwUAAS+Hr3AxBJhkW4kcfkCEP1fU3Iz8N1rfUsSq4G5EWtWZ2p4a
6UKprKfyq4+I1aC3GDDpqyqbdtZADmTqFKSpZ9NzVi852Ppb1Yw4YMxwiYjscTVlD6bdn2ZKuFVu
RhvRiy3Z3ARKyIuorPdx45MixIeIxHcHRYDQd0Ai3mejPNsBZ/aorI0DmLoy6s82js7tWL3NY7Bx
I76dzdR5wjJeCgRAfoLgaGSwTr7X3m05TYN2K3o+BMBEOblLpCWpXNtJnsJpde/LLjrPwv5MWg7K
yHIKApdJatVBDODPOhsEda3GRoEOmmFpieGRFFFYHynSD+RPrP5NEgJUfVPbfb9y3LnY6VPwxt1Z
b4ooJAYmZKpH3wPdg+IRuQnj1Lqpn6PEuENYkC7YtQfDbV/iJCRhjXMBEz8fjdQtiZ4fcVOb8pvl
y3FXq5p09uIbPl8U07L4aIgdw1eLljUn7/IyT5Au+6iwufPOAxiy1bBY7RR4hJbwWKvUio3Kug/U
OGiq3OrDCnO8Yqph5OkzlO191PJOhwBhCqG6qX6NWEkA9e+YEbScYKC6L0NX51tWwiDWYO4XXbCf
cPQw6/lmoUhaoeu6m4o53EVa/Mq45d0eXI9QgWwHQ2VHHcF74Pd3BuZbFimVe5w1JPEt4Tsc4oD8
KY1Yq82T52hGc8XSjVI/+0r0pPBkRlwh7q8VSIeTbpEEo9ryCwADQUhCvSC1NzZalTE4yZ23JETv
Uwbas151/k0t8zOneaP8s+jDXYhEW/NSNkwHvU1UdVmkaRFiYIj0gBQjhCjzRjdUFZ7+nVB8n1AI
1sd/X0ffLVFs9V/r6OWnfqqjhSEMk/YfESxz1v9MVymx0a7g6BSYMpjf/TRdVcSHAhUCIAkLCJUG
OoQfMwoGG5ZAFAsv8rcYkn9QRzOI+NOMwoZcbgJFMgVgSgSsf1KD9CaRPJWmpiubNe5W19J80zD7
JCDMghMMJjAebdylNhZB28/L87CgEzN7Z8sE6TzVCulUun0acy7BPsZV0uESAzCOrmqymq1ptApa
2VDssWWWN6Zg+YsvUYMuFNi7Ji6e1WywObD195ylD5yS+SaLyCfzhyJda2WPNixwr8Ch9F5e9DqF
rYu5sEB7x16ahRKxjl6emTeJhZm9z4i0ynx7ozMV3COSo8m38JQZSZdL7trcJjMtuRWG/ByS6q7o
o1OZUVfW+uJNHLWRrGmuoblV5ZXeOa/08Leq4lF8IzkLqQ9rBg/rZlm0+IM666xNKstMV2PQ3+jJ
/Jh15YOKq4sobF51zdoBquPFzgg6YRyeBO31ivHNeS7lx4xoEElvUmFw6i8mtyg8khoqj8oAAS8u
B2X670lowXOWxdaHgedqFflJ5XO8ZBMs428vCrN6M9jTtzkyL40lRWiQ5S2RKkRNsFaV1833uCFt
SR4qQ57P1wc4nGgIpQHMtix2pjtudTUAbkCLaKitUc+fs5TRxnb7i5yOHiUhpvqmYRGdd/AGRBZT
IxDDslcBi+TBFE9wMM+dZgVrML2bnrt83Uyfvuts2A21nukHb9OUf3VuUBBLZedrGjPSaPU2Zbtn
Xvv15CCjAR7Jqv0GHMmbrBp/ZXBTeGEKehzFmk2hDl3TbB/juLjp9Axcp4OhEn7ldq6AjHyfisCA
M5ybcQiegE1SGmbNRVBTOfVa1m+kw8dVNlimoiRAoDABNnFJV9kUWSMWaACkjUo9Ys+jHGU6jAXj
wh9kzVa6GdetHb3BsAm4Soo3d7RqVNpatG40XKrwCcV6aJNkUwaC/a3Z6eh64UiNIhCUbgHGXiKl
ZkZ6ezMjw4aCxutyuI/+OGtks+K7ZSkDY3u4AUj4kruWD7EokxsbG0jmmHtHytbrA3U15uAuUo1q
yQ2Ng84SY+VA5FkxBwrJ3xqvilE71AVl8jQk713cPcUZYMVpuI5FNy4D6k8OKdrQAN/XIC+hT+mb
WMKf8Zu8P6mJ+VBpfcQCaXJThpCppm9DrC4x+9xFUMY85JEvadXq3FR2sJV2DEmLaT7ID+SgRXVj
BkzdUcF/xjMmbPxSu7njmjRTDYA74SMMz6O7IgyYrcHt22hl8pQPxZNRL2jXXmC6jV9zKire/gLY
Hukcy7b1jJzsMa61C4apR6ky0MejvXHC8uiztvDQVZDrS68eK+2lpfF04+JU1PTzBLrBQQzc53aG
6pcEltr3pavWTQZQaiAQeYW8QFyZSSE1kBVz9PHvtfjrtcjM/L9ci9Fn/X8quPip36/F7wYPQNYS
8SaIBe6+38dLxi8IqBgsWYZN/NUi7vqxdGSGRKg2KVtcRgzUl1Xgj2uRG1Mt4yAgEBZ32T8D8pnL
EuAnXeEyXnJNV/BY1OOmyRT/j+MljP1ZaBaRfsWCgR19RkiSY7wWwYeuAPZSttdOfopkz/U3KDgn
Jf+9Nt0r8EVXXVVuHRncpl332jSzp0/auGuS8Dmv7V2FIgDi7blUyGoa98VwBBiSxS7tsr2yXagO
DaY0MwAIN+b3sY47q1NMi6sKYZUelS/AoNaObV7YkN4yg2Yh5C6M52eTBCQvG9tjaCMKAFPrJSC3
mg5DSJzPz+Bt90OIkFck7fXohi9xlj+w0TpxYT2zIAbnaptf2pA/EYDzmBgZROEOmbbStrM7XyPD
dkmGKndw/TqPRhqpDpAb6nf6an84tBEaFG2SS7m7cyukNE1P0GUmH6vBxPbdTu4BZTimdV9cxLBy
vXjQ9oDqMEBEcPg7bdoVYjyY0OqG0rkdSgZkbVY/pPb0lpZoK5wKUG2oP1F9UJZg9yz18Rwkpb0a
Alfb2HG+B4MGA7frLqAYHRzF2Kby7eNkfDR5/hr43cOE9m01CVa9sxxeE71RqxQNFNX5p+UiG1G2
8eDM5CMMsOaIAfS3bUPlPA29w6Ez0cxNO4nUuKRy6Br+ZkGQcvpPwEFBK8Z0I5ft2BrhxucQ2nFt
2ONFW0TTahal3h4KiZaudTEPGpiAY1aveu1uzEj4/aZprFa9pX01oP2yzXbtJPqYYR8nG9fLzIKr
KBVoOxCHeKVQ56yryK8urPc8rElL8glrxjwTssbExmgN+nqYm3fHB96sCOEEsbWEmqGyyhHFusbU
rwI7uXUXxiGUlkstJLa2NUseA7dioYXP6ShecjkOZKf0d2RZY1vUymgtKvsD4+6XCZ6R7dG06t30
MXAEHwXLovcHPZA05kWda9EmHlprI+z+ejQpDxiJ7UVYv8jEbrcWPvyN7csXUKn4N4QT02IOHyQj
Dqs8hZgwZS0G/qgBghCr4JwG2mXwktIQBsExH+MPMUJ+yvi8IGVDZX/h5PkuLsqb3qKXDpPxoVxu
MacIdindJ1oFpqm68+QzasXn66+kMTzh/b7BZuVNQmtOQ/PCyqoBeq0V+Cvc+f+xdyZLchtZl36V
33oPmWMGFr3oCMQckfO8gTHJJOYZjunp+/NUU0WpJLVpr9pUWUlkMpkB+PVzz/lOEvBbTdwnKcki
msnIkcOfjlk/tdPAHMdPPI0JA1Pmesjodlmc8mppKdotaxQSq13nLIPFtpmz9uu/58rnuWL87bly
qf6MLKR+zY9TRXc/ixipqTZ+1DH9OFXA8rMvsBnJdXYX3MT+c6pwo+L6JaAO/bZG/nGqqF2xgciF
8+T/3cP+wWWLCqU/nirYYuhwwjXH9lntTn5/qnQLYXxpS+cKOW05swoUdbeq6LG16GFjy6U0BElY
WzMcYAEeDKLqMouikxuZpEiHvS2YmmUiqA6Eg4aZdY2eo1mbUCOx42+o/eEGZi4U5eI97FOscnBS
tBo5LSJYt8pcza8PndUqChhQ2elWpjCf3VijHNa1iaLIqXw2hEzWbHD2ffk5+w8gVFSnDx7QAs6+
1m1DKR7S0ri0pZMzQacBBdF35cwGQdeJ/TG3neqqOJVNeNbH6WnuQLLRyhOu6pq8fH3IiyhELK+B
LjspUDqXZW0+ueMq8YAewH6JVsO0PBeufwNMAQwnNz1NcinlSETh8XG7QKg4tuX8zVC+40QOL/1k
m/iV4dYmwg4IsNx0+P62ozPA5pa+hH3R9GvTXaYg652cHsKStafapbPl2ghbzkEq0YJGb/imWRPz
eBKtpaowKEL92zSRtZJ2t00BiSc2eSt8K+fUo4+Xe9eTtJFO0wb6oMTTOySDQfDNvKdqeNu40oCJ
Ea6pvitWIfvsgxWzl5ms6io1qrumGdehW58ooFzHBDNWg4ePyGX1KfN3a+aa08ZD0ANtGfIsoIRH
W2N3OdJjxw0O7CBIDMACCkVIAVC29RSeEO36UihgITj19MzNBfpO9CwpyVyjSCeU+wE61JyIOQDL
qeX3a73pjwNVdKtGtM+RIiUumX2aQSf2NCGybAZ9Q99SVqZ3EVeFxIa64bLxcBR/MVQkxloxGVsY
eGsBphGruLvxGvOjUgRHXbEcbaCOtqI7xmSXSjN7xN6PlbpZVXVzrcUUg7kKFGl9IiO52aV58QS0
hGMPcIgwX4WiS0Jd2A1jfj9l9qFU/EknBF4ZfzIpFZ1yEXAq67qFsqrYlfE4PpcuXNIUrOUE3lK3
ugerw3cVAb4sAWCmnU02Cwa73b8jwpV4o+lfhDiDoQp8ZgUfEKOVvIfbkrF9gLFZzdEhUtTNBvym
dMgbetEbu/VkDW0S05JidRKJ0teWkI9DwnGqZxA9K9Ce1Bcchet/KT+Zn4r+aYABpUVom7RgQcGD
amZ1MwosvxPgULapXuARDV5BQYL7Y13gNWprE9zolOTPiYWdtwREWkTLtM9Ak0rFKNViaKWl4paa
imBK9cJrqpimNHuxxlKcU58OzoCA0C4SMFAxZWyLEYpEqPioxF8g8oBjyLv5Wgeh2pKxWVVAVWvg
qlUTxsdW8VYdffqA/3/HZZH1EGoEjBbO/m6Zv48D3i0abJGsI8NaE9zywPlBFMoV4RXA9L0TZnx0
cO6Ag6bPuaoTCH5zZWMrjvdZNH1xYtCxPWf6ZnL8i0IK6YBls34yWQPlbBkzwsB270LkFN/b0Tph
ed3PS8XtOTK4GjYwNYBx1ZN+EkSvt/iX6XOTzp01GdYh6gtWAimvEt1IL3pWHHEi7Kh3PFHnd5vS
5Vbk6SHum/swpr988qlfHdvzXIXXjlY/1F5M1nkmQykoHT/5vBd5NxJcYJO4cSs57tKsei4risPY
OPHMomfYtN9txgi4WzKMT35Ha4CsNJ7psuY3TzKgcb3J4zhhQ0FAKDyzWvuTUWyzmZXO+DG2M2Y3
G9pZCZIpBs00KUaTDqwpV9QmmBlPreI4mQCdDFT/OOrpjM9ccFlAn0RXffWBQC3AoAadD0MNHqpW
nKgRRltgK3aUrihSTeHeDLBpIljeOOVYwOQgp2zQU3yrkHjja7rerK2t6FSR4lQtuXtm6W+y9xMH
fEEJZZzedLAU3qoOX2JKOnct4KuCGAMcfiY7XVGxyBA+moqT5Shi1vir8+jfKelzStIZG/769n36
aMv/lqTVr/lpSnJ0+NaYrUHNUDn4091b/ELLpI6JQzDyfLoqfty98cZ9EhR0gecC7Zlr+Y8pycI2
5+vgHG3bQUk2/5Hh93MI+k+kj6u373jc333crDSLIUn/fkhy9ToSyMD9ldtxG87oEqG9JDbywG0s
f+cO3hcMDuO2qW2a+sgfWdqx6DwJ78tNjPQ1MeCCXcdhRX7KSrqac1mmBJ5qzZbuTU0ufbwpx/qq
5jX6AMiHegh2TC4FFUuHIzVO38zcZltYztGuFiFmvIjwajiTpsK/Z1hLvO0/rUiNPbXyYIVaQVWJ
3rt591rEtIDUbFYXAyaQyUY9QQIvMdEfi2JcqvtowbkKUiFMyZbTL7jzzUgEiQt8aBqIv7TVmO5A
dDcgc0N9N2SOvhmnZtkB926fliGWnMH+7Cwbs5MzXHHDX6ZNLqESYYkONZg5Vq0BUasX5yLnLq6C
2qice/jtLXEOt0bGKGee9TrO+vvMzCnkQYDIrycmTmPXsOLfzFFXvSyj5ZNSoqwEKPoUV+4BYqIp
Nv8+or8+on97kTklZdT9yTP6803G/wX4CQqXrjtgAP/wjKKM0RbBJeLXhdKPR9Qh4Mh/XEysHgoQ
z+Fvj6hytvLUumx6bBdH/z9ytro8679Xx1Df+P3Y4uDCguD6h3uMHpr9nNUuS9NFM9tHSKE5Obxy
LvQgjjWJLyntjOTSeZn5UkM9aXZizG/ZiKx9MISAyZOpT9a9K0JECc/p6IWu2iWY3YEeJqZsHqiu
C48EhdiBE4ZcstsKFmoNExWJ/G0iWwiswbyaHewLlgKoEicCZtnE75XLvtNQmFU2bzHJI209QWAF
T5KhouA0GqGzxnr4ghmTJXIlUlB0+SfHNaPCeV0ouCt1HKAd6cF2J2ddybkvL5Y2O/uZZqjESkIq
lfJxA94eabAc6neDquwIJ9e6d4pwrdflFo/ACMY53Teptged36+mtnwXZpviLAnNAHDYYxJpX41L
Xc6XyqJXyqRawc8XtjR5+KA33m1RiY2PrSZdbvXeeRwHLEfoRxbQQP/y74P4q6LAR/evz8qb/MvX
P1vgGvyqH6eloZRqJiYHvyEMD4Fw8ENTYIFLuoXCFnIktg3C6D+aglrg8oSSFfepn/3jAldH2UZW
NlQKGX37H2kKv0/Ac1y6LssN9HIOTBVMR0n/2Qg5oE1aveWO1/00kMvrs+dqoBdYFUSBobhGIU6/
Qnwrwa2YDwyZVLxiaLj33PE7VNOt4dgWIyIhvAhuvFB1VIUb5Rs02fdWVVVNuYqmyfLO8ilfEX4V
7kYMFZ6quIpr912ayb0zLM+xKsEyVB2WUVvrqYqLPTYJWLnkSQpVnmXSorXkxj1fi32Zjs+RcZKh
HGdm6sl0jRP+gmnh0VK1XGUWfUs77NH0dQlruo7p3CWnAgeXRi8jFmJr0bAH5EGJi1BEPFUA5qoq
sELtOSNVZIUzrZHpQajKsBEGGR0YxdZXdWKZKhaTBJg3ZkbaTZWOVSb1Y2FtPbQ+tfMME9I0N5Ir
2appqSpLivnAotpa96rGjHvTk+1/owMlaI3pgl386A79ixRwj+sUazkdzEiEM54OZ5AxNTfzxyBY
Yeru1jXhOvgifop0biGqKyAn5biy0FYiqtZSlghj4l65qoKtap8qKtmkRKStMgaDJVBlzQ3VbTLM
bg3V5RbZzp3H31CY4HPSqnY75vlVS/2bk4j3bFroqifBRZeECvK542NhWK+p518ZNS1y/YDDsJZ6
R0Gse9LBZ2g5nXPOIp4SyDqrkTq6hVo6wqRXNTV1keqr6yiuQ2l+myiyq015nii2631nyxL9RVJ4
xwXeXtmqA6+tI5cbAr14Rtd8dynKE6oxjznuwo/pPKYusSLUI+u7XttQXvh2Rvr2alW8Z1hqVQh7
KaXRUEQwj1LiD21ZvZml82qq+r5ynr5g7OPzpUMYxS2ZragPO+tDTtHK8uy3JiAjoyKP6xylMxMN
678NGv4mIzYfbBoEoyShfzFsUJnGnmv6MAUuDn9AtnMaaLFkgWF6SnDKntKev6SlpErFjllIW4Vx
R5XkxsdniELH2NSpikMG0+jKkHQ+dixKDybP3GtBAXql2hHjKEvwG1ncouf4dh5b/xBmqkfD7aad
pfy7Qo7WWjZ6ivhD/2JCEaONiO6fIfn25W0YhwTr+wLe6eMABDZb2QOsTwAtYWbdg11iS6JFtDpY
qap2w6jh2zCKoBvRcWLTETUEuZemgVv6O4SlLtDwfQf92ObHpLbcTTGQ2KpH87UabHKYWNRWecxH
uhzZ9MS0KSS2Tf1PAnjZ86d7r55YFcTx9RQv31Cg2GVHXsBhtxXYMGRWgCUDLb4p6cIgeRqB/nSv
JgvTVp2sF+E9J3a5BUqEKdmLt07fHxKywi0s9XyqbvJEbsGIUg+ldaeq7gg9D/3RisvoKkfezyym
2tnUd41vXXVpezM18tHP/H1rWuU6Csf3zrGeqgrcj3BhMIQkvlQrS0MTEpzM5MmOlVK5FPHaM3Xq
3wfIjqNJsWKcn8UI4B2HDooOud2mt19rzSHA22ib1sy+z0vzWKfuU90kl7y13gEugost2P71/tGR
lBpaDRFusxnxVfeRphrB38WU3nlGeeaHB5QxXUaiw+5jMQwjT4gJr2D0MAF6UeAsmkXDvb+sUkK/
Vc/DNPPouQvfZ2wcugg7XhL3d6iVB2noRyqTTzjMz5kNMgsPfk/6ns7UcCh8bJKswaVLhNEqAGqG
Wf+hqUafym/SbS99ejtrcVWGvoY5UAJ5L3XaXcMvOFLPcbY8ajNZZ32agSQ36f1cT9O6Hcd93UFt
h7eYBW7UfB0rVqRai1+4YqWYeFSt1PVXbMP9OjJE8TCV7V4rjUdXIdPDmp8GzvItDSrAK0KP18Z4
cIs6DEJHYgLhdKh7xIrRAqOa81nrCjwzq1xE9By1Qm2uRB6VG0v5lfBWdv6bUXS9++9E9Gs0RMfh
9dcT0flL9vEnNxN+zW/zkEEwhIEGkxT7caHmjd/mIYIhPrt39vkmCRFFbPlxNfFpb6AlnKU6/1B8
2uB+qAfeL8Q3mJ50oCwm2Np/Ng+pvr7f303UrYj7iSf4flkFqH/+ExGIoCz31Ka0r7Mhj05aVDTh
/USTXrN3jCTbjYxzMHM5XRv4ZbhQ8oPVAsazpWbvsxCWXzEbAIRGXvp4ajyxnSSqLrZuJhhgxJ6t
sggQWPCTlEeNo+7iqoXxlNPpVkSYNIHu+4v3YacDYK6Z5ocwtJZi7cQRjqrxlJb5VvOGeIVYIe/6
oTsYw+S85RPe7y6N/Q11LrtcVPsFoNtoRHeNDptEOPMSdAb0ubJo9/2iX/md/0ERxG1ietdL4x2Q
We/pEthpVfeiRV59KsPq1MT+oY2t5KD7IxSSaO1p8X1h2I9UWk0rzIcxMT6zJpAWvRIIO3DabVIR
vpp+/kXGJq+voaFtqx/GXRcn/JktV+15OdlbuMFAEk6Nwj5krXHKuvyqgdML/iG6NAVmnri/7unF
7fmLBlReYYEaWb6H9bFwM3ddVP2eqiT2MMwlVC2ufHgSmwzQr1ubyPfuTEuU9uK16qi0wnXcpwcZ
odk2brdwL+Ji6CmevB5SzIG/kBDgKxr4jqhbtbbNdtlGc76sozr+2hW4hOdatwPU8h0d0secQPUO
kMVVWbM3H/s8DtQapw5ja2O23xkWxN7JHH9DUpj0tQ2YxNW/axMiv+X7100uGzz68OYGt3nwWo8y
Cz/fZ3Z7mzOo+kMLEmTA4tDX7tpWc8kkovmNjdPRi6xvLgFBVgSpT9/z8ool8kihxtskltsGZNvQ
UqBVh2jKffzdLSz6DMaMPtYuvSrceZ91E1YTS+/QtcaPycOFp+k2Zrk62qaG/DrHLfYq29y6Q/Z1
RmirAHGrFmAKAd8HLixnIqDYtAo5RbsekGkeYCEEZEJYeg9NeSI7bycSwF7Rzi5Hs0vNRMHbIGCh
CZ6QDUCO1YG/8QXdekXpUEDJZLKlUAefQ5jh2+NiHe/nQVwvPAy3s5e6u0zzxttaWfm4vB9NMzXX
sLg5IpU3Iqm16zRix+dOotqYfNroOWtMPKj6LDbM0tMBViMzZVMlR8+bFlRAe8SFnvTAT8doJYZh
OwJO90R0Dese1JyhX0wJ4IVx7nbuXCI4eXrVOOwhDf2ZJO183+pa9lrqMHeMhnpXk9i2Hrb1xuv5
QLaOmW1KjzWkRes0S0dOc3KxrAo9PjeGrzFD4brXRzlcoYdvpqgiH6PNl8ygIMCHMimblrVVDn7R
SLr3Vmo7ndqQ1WC2BxxuJvsm70iOxz6ysvSCSoFFDK9s3wxUzpVNpctGRjRAWko6KGMXdDzcpK1W
57SO9Iv42ujGS1oU4dbv+HdH7Hy7cgH5kmW5vasKWnQ7LRUoiFjqdUP9fENSZYsVnho/3lE9dcUM
kZJJkMcUk3888l0LOjz1qDrps7lLCiyRlQ9SOl1aUqW+t54gavPOkPyEFioNSJjSdjNvi7KgMSqx
6IBn/0D3xsmLZMSNiwJCO3sVQ7uTWne/ZMwtULHY1rEKKTHUdrKNGAOYwKD178K63juy+87mIQ5s
Do+g1nIeWOiQxsWbioeiS/OzHw83pCzYmlt0FBcVCJKI0ZoU8DNi0Ha06hP7h4+pMmDqVMWxz0by
o/q0cx3r/l/N5FMzMZHz/npCANL2P6sP8MF/Es5Xv/K3OUH8okqUUCkNgvh/dPg5FgKI6xKQdz7F
zR9zgvMLjkBgH4aqcTJd5o4fYwIoErQS/i9HBwWiDBz/RDZx/ys/6hu2WmXgFGGQtxUM7ucxAfXc
tofM065cm2xczt08oTS7zB0QaLhPtxmvWo1SkHUaF7cQR3gfJnjXxyZ7HmdalPK0Pywty+Ga9cKa
aYhyu3EGk9EQXSa//T4WNEOl01stmgsNgIcFZyNuc0LdVsUmrCav6re7Qsc9Qb7rbqJdCGqR+dUh
Jzi4DtkVU9z6gpTV6IVcfNP2WUzu90kR8NOx5hTnpNTVHSvjQiE1d9nQcPdiyVoGiQ4wSzH106hm
j034u6RKdkWT3W5UBH4rRDvpZHFE4QTPT8aKfehIOVAAtfmt/gT5p59Q/3z6JPxXXV89yCYVNfs7
3YoCn3dZVY3+ttZZLAzdTNuJkEgTs7kZ7HLEC5jeyHTuYdvhlaioM5Ui/da77kcoSJWHCUOB2V/l
w6MBm5ZLKjCO0aeIETr/vTvptOAWxluad5Qz0Ru5mSfykl01nJyw646NKN8bI07boMxjZFLEBqAt
TmEZt80n+S527WAEiCdi3seuZDE9cd2YhPVSWhVQWSh6NV3pZ5oN5rXm+pvS9a/NqKZMubrqdHqa
2nibg+Sb7PAF0gRX4cycDxV8KVla4kBbCC8yvm9ehlBYQodApFDgIv48z14ER3dAj9mwgMamrsO+
DUezuA498YDaM2yLGnQUKPGTVSR9turHJnnKOgpKN22OELnRR++yGPMtiKZsJRDIaT5GRWlrcR8h
gIUgcaCbmNdN5G+1ydhjV78lqH8I82WXDXIfi6ULhj566L3iGuDyzpgMjHkClDMNK91Yr+LUZnlV
pM+wByg+jHfj6D3hGUGSasFeyeihxqLUjsl9W8gXYOJ7iNE43vK4xonJa5eIIjur0d5y/zTIOs9n
WjvFiR856GCZfqRcr4eWP5tG0mND9s5mAA9X0+LuzMV+M9piA+iWuz/xAa6cd4Xd1IfZ7qMz3sD7
RI7vpUZtYvfQSpKgfuPfRnEKqG2grAAsi6M/CT8dg7RKd+B49lgvIIxjQUy67K2QUUIgzdkq2ylD
Ro1SGSVAL/DYNPP4xQ91omvFGCzOckUvxTVZ5GfDGE9Vp8E0nmjdsInHCicQYXq/RPH1qFv4Yscz
zcJPeSP0jTDmbUMwbZ1k2lUo/B122iuJrrgiYP0+EMLdmCMItGhmGhvyU57zrxG/HHvZr8a2OHBI
noe+PPFvLoAhTfPoVjYudW/Mja2eYB5ACCiLuxgzm7HCrPOaJsamtFOEU1t8RxXZZ8nw2vnjdvQH
AA78EUzvrScRRjOaBqehD0xdrvve3LdR/TK7BA0MYjes/J2zZ8g7T28Ahk0jTcOt+ZLI9jB2uBa1
gV4Zz6LlKTqQ5L81Sj9Zz8twsYcxXk92SdKz9Q5+W+/jDD68lz0DJDtHont0y1qAsoOxF1uBUeeX
uGxOmZDA2y247Pwsinr4ahU8aqK94JK6JoQqD9GMGpwmwz43GsYT444PybGSSGNx2193odhSdIqe
isurMJpgia18O3TipsrHk+brJ80UXAtG7WDNNKO3ii7BRmkZ9+OA6rVk5wmmZp8vt/2QAeAuGuaZ
lnYYPrIeWZqiyx9DUb7REneNvfXQt9ZHZwEbr5yDbsZPQ5fc2173gFs9X9lOSB17fGAP/Z6J+qAX
9IAtXBsBJ59ZFB3LxeAJ08dLTDdPspRvU27eI50zZ2Lh0KtGrFNHoPcl27Kur+2iOiWu9/3f2eRz
NjE4p/96Nrn6GL58+/Lf+oX6VT/NJfxOaBHE3kyH2N1P+gVYWU8F69AAYMQ6P3lE0S8Mh+iBw2yi
RA9wEz8GE5/9kE1ppRpc0DjsfzSXmP81l5DHI4WHvucwNPCn+P1cEsqkNskXzNdJeWPOSGgGR+Nq
6v3HacEbLWYD9RAZEdLNHdz697nOtbWL149KuBxlg1a2lYsM2WXqIcNFNGnOO4iMSy79J3Yij7S1
fZcy2jZK0Ux89zWvi5polKMYtRgNjOJcKR10UIpotpi8H8E3cJGxVo2TPTmRs1BezV1CR1I1WIRS
m2O/ZLn7FM3LO03u5TpEhh2RY1mz3LTIs4mHl0H43n2BcFvR834VIuVW4wDcAnFX90gUTCWnIrKv
ic6RIgMDMjtIZGFmwpDSGhp+Y+1ZIhz7+Jpsw7/KEZQXSA5B6ULDCMuOSQjZGffdtvG4UnEurwhm
fsPveN1lusN2pZnvF+olkiE0WdJ2kBMQsO3UBGyoUhgR6v7G1+zXYskwkcE/A38oct7LCe1Zo45e
PoU7fKxpQPI7yC2ftwviujei1fKqvXdm2ueW1n7CctZk6whT373vyghQgfyU6yeHPMijPo5QcweP
eHFgk6aKqfbuSQ5Mv8YIiO9ZAegitGpSBp7DAEPqQOTTflExBKkCCdyWdwwzw/pTewpJLVgqvlCQ
Y6hRpHIVbBj65W1RUQen44MTk37oSUEk+UdLJqKxYO/apCRm0hJT60LxJT9RGULDPE+kQneHi69C
FtkMMTIWz7PlHAsVwyjIY0DoaB5pCr2LCutO/0xsjGjR025K0xB7bIhdNwn3Jf6TddSYJ7RefUV8
wD3MGhnIhVSINrTeyiEnQnxmJxKyIsqe6JEkWXybmaequfxGZeCrFcBA7iRJYBYA+OP6F25NkikK
d7RqW/m05PlzTnaFFiwMtqRZAMidyzB7BLb6SuH5DS1CmDN7D/vq8tK1MJgFPkMIgS4e/WJTkpkp
pMunmRTNAKKhJFXTz8mGRPsJO2dAPeUrRZt9EJoclpmK5OStKj5tH9kFDataUutMTuCUkeOp1dqk
d18bFfCBdHdBKbvjyNoJM3zWVRRIzPO6IBtEt96dgUPTJTNkWvb1pEJEFEQZ+IoxPTckjLg0Q/mN
tln5LWPglAOlqp3qAkxGyv9yC4OqPd8kjh14gmZMf5QMk273ApIQ3qdjfClCys5skfVrQS5Xz1mM
skF9cBYEAiAeDEet+1CW0clrxOvixZfcn25Negd0Gk9XTF3faIvdF77Hxwh0yiALPoDhQ55iO8LE
hMppUbk96A98jF/grca8FugZTZzbzje/+XBEN6k23lQh+I2i0+kyiQzaO8ISRd8B4Oz1LbtJSsQB
MPp3WcZ7JYa1dwiHWGxQo8Zt6fjvU9h/yfLmJtRbfNyuHQbdKHBUz42/aVP7VHuddbOYQAjAD7In
U8uKutQplGR9EbHHWKrqDAb7XWe/IdWio1Arjz4zrmKY7ivCjt12zr1y67MhoUd02Ug3zgJcIAhl
PW2RdY9UComO7gq1Zgmt9rywd+nZvyTsYWL2Ma1azIjRPDhsaiY2NmxD2OGxwwEDIFa2WuvMURRw
oQQd4VrBv0f+55Gv0E9/feSfq+5//k8ZfeQf3X+f++qX/jj3yYbg0lBHu4GTRqiD9cfeAligT/bD
ttzPgUAd7j/0COsXuqNol8D2zEZBLSd+O/eNT0OkI2xOG9cjVvJPDn6Ejd9tLSBsMUUwWbhYjKms
Vf/8p61F6rnIeKWfXvGALTb34XhnNc8//cUw7M5RVf5PKYubCpRm97//l+EpKNbP1kr1VcCo2p/J
SsRF/g5+/ipNyLrDXuz0qq8ojsfcLkoIQO3sITYY2SY1mf8rNOOzG3GMyzpGGVnC04Csfyfq+DZP
vJ1hxwm97oKdhK7Za90DopHriViLKD6MRnGQA9Tnwd9jKziLZbyFoXNplopTxrzGy3kUaUbRyqBO
MdH4W1f5+0NJLV1i+N/0KR7p4sEZkfbZhF4ov5Oha3HlO0Bu2hCaERrzTJpEg47Mdtk5jtoChGME
wtVr3UwK2IAVKJeKer++BA5rWE+h6bs7N7dNVoX0ZnNfQOAUWexsYtnURFhmZJ2q0qlK8Sh43kc+
QXBmf8r3UGy9K2fuZiREqmbpSvTieNWTk/aeFqNxgrwx8l2rQSTf6dVIrcy61l3BaSLtop/DFVll
7dprDO3C718H6pTLVNdOpZU7DxUzcCRaP1hBeoldLyF0bWVHCbXPu+HrdeabPUdudzLmaqhghph3
ldva002sq810NPv4zx33SB9T9ArK13rmqoRfNp9hkfaltA4erMaWQc0el70XD2xLxNj5jGEMWQ5u
0Q091eqyNjHkSTzzTRTNZO3t4cqX0t30/J1zmC7dl44F1jRTzDdPnsHRkBw0ipE2OIxx3uXDeLcM
aMlizjd+pft3kAx1+EwMaN7sQ7+sCwiTmRUMlY6TN3n2Cqg5/OgG2GnJsoFPbrDgQi+f8ik5OouE
vYIUv+v7XF+XPo0DXTxwtSKQv3PMYT9aJQfJZHS3EeL5xtOKCxn1y9B25bZok1ursg9eLHGXOPme
JyYLIlPccF2+7xluHikH8r7TSMbOLQuccXK+V4kkUdgFWdjoD0KT28jpt5pRZcyE+PA9lPCJjUDn
1N+6rkchbT/mdH7C4Be05nD0p2LLC4So4bKzJnGZvYEMSr/n9n5eKNyK2uFd2JLVmLbNR501E4XJ
cv5acn+Mqq+hkHowOjmiihvxh7CHV9tJ3vPFsTZOl3VHtiL4e8blbBTGwYyMi4PQx3n/WvPjgzGO
Vu655ACcbWR4e6xIr1PYbaICYFgjGoK6EXGHrhSH1NbTQJ+ZPV33hu/xzpYwg6dkidiBhVTJDiK5
xJZDeWZo3PZ52V3Gpj9FxsSHWaU4mklAlXP5lBXzyechEgh4ht8GE+XVXm3Sq1A9a0tPoYR7L43o
tmzqM6hRiEL+uZDDbeyzgTPqjUGUeRNFEzdj5sM0Huu1bAFhRK24yrTsrcr0t5p0BpIOVH7viOPh
dhl1+hGoQ8vzi22l6yZv5tPiuvtaY/jwaJFuMncv1Wjesu2JgXfMy3j0qmU+NEtZHulB/1bMYOq1
GIzHHGFjsyczw0dS78JO1+6WWWu2f//m/ROINQ49QZLQFuylTf7792/eeNYxLDk5pZoNd4sh9+eN
S2FHUNBQDq3MHAN3oBQa1xxQ7+VDr5vutmky8eCBPllV03QnVZJrCoPMdxGC+10TO9/RnyKYRYA/
opTxj63ltlr4TOdhQvkwWL4x9egjbwDCul6/p7n1nTZ7uU7S7skArL2hrIOrEBAiQGBr6CPddNBr
gt59WO70tAULNdzkOKi6wv0258U9zX9HnGenpcuPjTTObl2dvc7wd/04U9Q5J3tjiu11NyRrJ6Tx
M7bSXcTuP+hEd2fNUl/XsXMUMaEQ2vQELYA6E1U7PaL+WAiirFWN2bi20E2olnJAaSfZZaiXq7hL
D9kIdmZUTH+sVaEiaEhPNSZwEYQcurGj+pxHyJtuaVwnSEO5LPaca5QB1gRNqrnbVml7naX5neX6
rPbKIQ8ccsoApATBvPYmMbshKBYFiaNSBDEJkvWUfPFpiU8GPkwTH1CPxXKWNapAe6fXQJksnST9
HBQmMUPf2o+8h8yu4trpnkVDajLytW+h7lDJws2dBde0wvOlH7Ravcv6c+I6L4bIt0JgbKHi93Uu
DH1NzjwDCxxdI5XqQLBwMFp16gEQSeUTKud4wmbVXvJqLA5//1HFI/7HEcEB7Om5Bo04nvXHvQjL
PhXGKeiylioAfWwNufr7r8DI9NNX4Ldkh6PjzyB/ouzqKpny8xBiOjDbPT/CxkXoW3OuE5nsk/qu
HWnUaPN14lD5kG7+/msi7/x/vqr6vn8asGSd9bVlatqF3Oc9uHmkEv4Hp+JLZDF7INqm696zn53Q
5JZTZsTeEbJz8CQUgSfVumyXl0pzz0lviTWNFCwHRv3diy03KET6iJA4BlGGTzO3Xom3Tdy1TAcY
0VJWG7m45cartSbQa6rg3HKeD3JyzfeqTEG4LYW5SZLka85nddMIJw54A89BT1nPepD+vbSUqq9l
j2yEgShG9InO/TeWrXsOpYeubbcOLMyVYad7k0oJDBxMKPlIIH5epFg3FKoH7QjZzk2mOyMuyZsl
YIDMCPHDp/yvG7433WhwC0oOraXtsVs8TEv6bInsaPcVRoSMYS0JTZDFPXw0R9qHbElPxtgE5RxC
G8iF4IDJeMuK5wFKHOUVxcWLp13ZjpshXPgEi03WRwXw4jqo0sKjeSX1gjYPL7VKktnuXq8Q571o
uo+h4a3+L3tnshw3lm3ZXyl7c4Shb8zq1cDhvdPpzk5sJjCKItH3Pb6+1qVSEaSLSWZkvUENchIW
Mom8Dgdwm3P2XnsopOu2AeemaY3sIiVbAR+g5tTmj6Zf7is5vSix9lTQFii2bjuDKOTO0NYWTft5
oSg32RisB28gk6hqzwuqV/OoMDYVpV1OuhwiQ6JIDX3lF/qZxaH+i8ftq2dcbMTfPG2Y6qxOnXja
orPs6J9LS+ra3/rVtKEJcmaz9LhP1GRo/u+zh373+eCigvnBCyb4KVQrMWqJD/dmcLw9dhbburQv
5pCTzlS3WJKvQZn81lrCzrk5SO7ZbbeIkCc98p/kfDyTZ9tw6Z1rxSz94tO8P9j8fNs1tO4GCRIc
o4wTN9co92hHlCg4D+RjoSWzUL6tuvXnV/x+zvp9jBMJ/ESHSgoCYnvy8tmv1s548fnv//Aa6FVj
rEHrDyvg/ReaDnRi5LBk8ZaOpcP7YLDn/DlD/SfyjYL4J8d3mA4g9J7H38/u4ud+nd3xYKDacyzN
cRAovYsoERA9gEBkGf70Z7zRHKIlQDJg0aN6ryR49UI53E+kCT8dVH9DSYB+8d3rJvyKgOBN/I+a
0EWidzh5OgqA9iPJ8OepNnVLLIP6PJetewurTm61tyrWnXi68DDyqKWyUDH2tI1/Q6cW/pvw/BSY
f0pMQOZZhCFI6+ObVDiEFOEVGjENIYxG5kTWeoGdSPaJBcAIvzSUCk2c8BypsvIgCReSIvxImnAm
Ycr2lhPi+T5E1OX51TYTgeiRSEYnIZ04pPtJQicsotN7sotGstSdQHukq3o3iJB1sxn2DTlI7igC
2AuS2PEg+DOaVd3tKNsPEHLDHRFRHp1qxHEyWe5kmD7IItxdJ+XdE3Hvpj2tJ/LfO3LgoVm7o2lB
fl7FpMSXIi4eaftNS368HUrrnjz5uiJY3oJB4xCplBI6r0TsZ5ORwnh4rreidVsBBgyDHzlx9bAu
Smqk/bkT9tosD9WNni8jaq5gSTnuXolVwqIBHN8jFChnfMQVxXdz1kAVTXR0TY0B5DSOVPvG0+l4
GnW9hl9M96IH3OdJZ2aa9+u8IS3KC9tFn0eXBUA2AvSmpQ4PhmjUZF0SnV5JQT9vVATqQSWvKnMi
f7RrjzRk13IkmwCZu2wVZNpzE4b6NskYD8ZgbfjCj1F9l6cRkpxsngVkNud19DiYsJbt1jpjq3sg
fvU8LfS5GRmo1YkF7n1wT2w6LINid6MPFCBkStBZgB3dn0DLmX2H9Clm75pYhNygkUvRV1G4H0PH
gIo3HZ3GejQKaeNLYbOEYgQWEJWJitygF7oTCwGKiRBlFIoUvYwuM6FRCbhzUqHdGIhXSqFikYWe
pZSUTWLn+wKhS4fgJUD4woLezxWhhZmEKiYX+phRKGXgI206oZ2hOXLbCjXNJHQ1UAwvPKG0wX6x
ToX2pgKPMptGExUJ0dpqSGQ7HVLuBz6A4qCjzIjpoBpKIrsp9Af2VOpspMsa0W2lFLVr6L7mog07
0Y/1SEiT6c+qolGb0LG16dxGZDU4gb8yRUvXZBfV0+PF4HIT0vOVs3zbslEg/mcToyiU6A1n9IjN
GJdJMpEbSPdYa/N9K9rJRTxcJGm3GrzwTG/NeUbfuXDyjUIfGl3luvSDra/ToK7opBQcS3o617Jo
YbdTBSGhuetFc7vWJyAQZNGItvdI/7uiD26ExY4m/1qPR+DiolUe0TPX6Z37hXXI6KXXoqlu++pV
nde3GPh3dDX2Ld33wB8vMznhpM5LHyf4K/rw1qdfb/j5OjVDG61FtjJFSz+0mr0mmvyErFzodP1h
4lykQgbgy6UboAtANnonC6EAzOxk7qAd6APjrK0oBnH0xq01pXctOgOrhSyA7gD3MygZlAhaYj5M
KBN6qV80KBUSFAtZ1a5roWAA1j0L0TRMtXcXvqocrFfFA2nvpF2+6iBsIYkYhThCEjKJykx2DroJ
3Yk3uDoblK8O3angoKOw8ITUIsr9PYSxdBEKFYaQY8COPie5fFXmznklBBt2PyxTIeEI0XKECv4l
qmYaKg5A11eTuIUa6g/o+LyN/kJDFaL40u2ASoRo4HM5HuaBKXKr0ZGoQlASCmmJjsakFGKTSjGW
mZCflHb6QMbAfnSA9TQoVGKUKkQl9vMa7YpFnkaJliVA02LU0kUXmoTD6dfkp3MWmL5HiXU1CTFM
ZiCLkdHHFGm2l4RgxiuThY6CBqTxisAUvGZIa6KGOlEv5DYxuhtV9Z9jIcSxhCRnRJujCJGOgstq
KaPbsUoEPDwUhasKUY/py2tcFnc1ap8S1c+I+sdDBZQJOdCALijrwxXXfI2i+rYpg24z6MeYVMQI
QZEamSC802Fl6PmhR3IUCu0Rbcu1xLGlmexNhThpShRUKA5fjXKQhHopQMbUteoVplsbJjE+Xrui
R9QpyIQ1c1+/yqBQfyGJaoU6yngVSnlIptQMp1QqVFRBac7SEjx9aHe8nRCVQvK9zIpLGsdiDd5i
ZfmZc6TUiKsRr9tikkIqDF1JxbLrBmyN6XcQ5HhJsmjJCmNAkkF7XqgQtNExG0jUvQDQ5yAI93nn
dFsom/RlpfElq+oNUHek0COHRS2ijWWGA9BOmpFd7qvo2s1qbrEVXypBbUmzNDI5r6Q+Xq6mOGTQ
/O4ixWowB06VtGzt3rioewTiiT2hNu7JtgiJF9OFIWtK5pMinfVataUMcVTteKkP0cJSIc6W3qVf
Vru2VIGuY91TEwS6NDDvPPR8ruX3i0ohJryLiQfQvRi5WvO9o9+uxPY9MsB9148sMuGcutyyQWdI
DeS6oBiB4D14ZGb9hmd57fXBQTaGZy/SdunE1+QE4YIHifh5CYf3ZOysMN3TXdDgeaRo1WKUyumW
czQ1zpGM8Z+5tMY8ifPLpsYGZ6XThnD6M2MI10BnadIVm9ThSJTLMTyE2KcfrV04fXrVQIPv8pEK
S5Zdg4bLACnFOxA5G1mW9hjoXbZC6NvKTeM5WCRJLLLKnV80t6au7RIafpXGSqvZlHCLJzA+JJT6
F4PHTmE0CpJtg0WFrJ9G/HMaOGdSRpAOD91Aib51kicsK9R8Ce7B5HRJgMcCF4nr6NC4tNRcB4N8
VceSiMYAkEw/AmsJablVv/Q6RJJeJM9abEpNpKzTVr3rbJ0YX2VYGngUNPTibC3KGWXrktk9vku0
1vXR8qMPUxdOzKGt9RMqRdE3x/FWmj0d5Y7mRtwo12OvLLWouM2hR8P5oT4kdeEPr8o7d4j6dtEE
CDcM+dzzNYwFjbnAyLbQPWsVOeHGCWVn6fs0duLpuRiN86ZQuOI+ac5MlYfFz3sDDhY8LnqxysIb
TfuQK/k206EfkSE8Dxr5ItGls6QZJuE4XNY1JgHPCJRZVcvpmkSCe6OPRtQPxFDEyXA2DHY7l2C9
DrA1MNPdqyp5QEVIs56zOxLHdhnXXeJmNVeNXGQNlJ5cUaHAz51g7VfQZ40i3hdYeGNfmg6SWu1I
1yrnqgmgt6xSuDZDzRaRrAG8tC8jVn+lK6/8cCDMYSLOzsKbMjYtxXixahv63aDwokUyBYNqcEi1
GvVzJQ7P4x4bdaQj8Qqm+gwjhjkLB+1W9RN/22NHdurkHg6nvhavO50IOmgZq3lcddq9HTRXWEou
oJ6FZ44GJFMpNn4hX6s+O5rckMGFtmCXSCxN47PSl1dkBCNhN9KX1kZCSvMS9I59HTf5NoRHFAMv
68AhLmq1uRuV8tIZMDVkhXUeKT52kAhPpT7iK4q+lYlzrw/aJW3OfGdoUYaBwMyXaqPfT6mzcSht
kzgVQoxCRLCTSmVJIkkzLzK9W0cEk9BiK1gdfT2VtatBiVSOEVUFW45ekq4CDtNMaaEqoYd25c2J
7/h7X/K34zUicMekUsEa72hAX94foNRQlgdVzcJDRPRWlu3raZg5/1Dr/6vJ7bhyxCA0wDi/g521
TqqOsUf7Uarr8CCPZDXuZUiZkn7d9NefX8tvpQgxDF4C/P20k2UbCdnb2osnyw6nAJmNu/rS5zeS
tv3bvx9OoSKrusxhk8r5+99fw37JEV8lh6znQVvbHmq4P5vnH9yLDz4/RQ6Vb4gviprNSbnGtwRO
zijTAw7xlPQd52dSwD+9Db/Vpk6+n5PPT1dJATbI96OnKwl1kbKsrDnY7OGZBOjPL+WDoeh3U9mz
8dJY6Onef1Xow+g+E7xxkKN1W7mNPCuw2Osuy7BUfFHTFh/7r8Y6FSjHeXdbxCP+puQmK2HaWeT+
HgoYHoBJOXc1hFovxu6LTtJHF/X2/p9cVGZFTt7aPweC4Uf7noBt1hGxFBdfPGsfvJeWo+C2EJ0A
TRVQjLcXpRF1nrPwZodaW3rJYzcAbH36/B599Li9GeL0cZtQT+X0h7JDZj9G3r0u/RuPs6PooHSw
EIK+OXnrCZUxGl1SSQNhBgQ3l4z/xuQljK0mrkdeGwqu77+kTMrY35tKfpisx946bzEoys3V59/S
Rzedhxi8lg6PWhGw7Lc3wglSIDH2lB4qNn6jK/iQxkUHswKwp/bFk/zBWLbMZaiKgINRf3o/VoBF
QcPUmhGbyp5kQecjoFVZQgBcqZevl/WfkqfCl/rnpDt/bB7/1zMOyGY8f0yf//u/9o8/nj/Co4uf
+lXwhFZLzVzcbGFNokj5l1iJWqjB8gLeROadRJT8l1jJAo8uZMg63TX4TOI5+SVSNv+w2KkKa5Wp
Uan8eyZrlgKegr/mO2qetg5mCsSUyhLEKncyDUmyMrIjUfyD56QoeACbNjXxvclYnWtNclvE0qxA
szyfwnFrESu1ylIYznm7lhUFdkgHZtUxaAb1pDBbyW4gink2OdE+Iwl1rkjShWhRzZqcMxCgGZwe
OE290HEWQJ2flLaI6I61503ru53S3ZtJ+qIALYSaHc1CP3gwHbJD0Et8o3spr5GC7vy091zLM6BA
Nkq+bFuK+SFEXF9R78lCz+ZlqKMF0fR63iMGXg6N99L19TMsOJNMS9lc2ESPuQhLrvI4uBj87HGS
+2/SSGSZY/qdmxuIWGLJ2BqmZMxbAYwuHGINaiv/bhvRU2BVLKiUA6ueS2wrMgDrQjmCW+G45O/z
YtpFYHpWEeYORELqkXCFo5xpUDXCpGE33gyIsHWbklXRYbjqn7w6gkWtYJmKAzuh3GsAzpCja/Sd
RyBWpErITcklAWjsU+eqTj3UBsoFfNMKtqqeziVn2gWJsw2aAVxvIEOrDOqZ3nQbXykiTgEWAG0b
N23eGjBlYXHPHYxFN3WcEy2fG1CJG4TDHLW0ra3ijHLi4QeJi+PW7wLC2zIZ220a2SuttyXSMbQz
s1Q2pU4o19h63sUoZfksKInnG30aiE4CsIKapOlmbRZc5Ka0yiv87KFF3758GGHarWofhEdSBOIQ
YIVIH/SlBQ4LCl83rs0MXLtfTgvLypjq/fQJ0WbqKhZSlYT60SLJ6AcOqfcAiHRj+lWxD+NinPNL
Rxw/4TIKs2EuT90i9JRm0WVmvVXV8hKtSzC3cOnPo8HggWwBn6GmxVaDo8P12+mprWRtVtQtigS4
5nA7MgcMZm6tw0iFSTvae3zcztwezOeq6KgdOco5UJXM1RoeZWQsw9zvwmRZ+EjxcCldEXv10FnC
XYRsZFbbVrJu6oGqsd9fSSOJNh5CF0sXvJwUhhooAuzZbcdj7FhHvCwDjJ1EX0upce9E6ncEHitL
QpysDvVeAgjN98wqovcZZpry++iwqli9VVrzrHbMCyz5DWLhCRkhmgQBHR0qvCta/5xAIx183nk1
tnP0Yq3MgXdYjgJeavXpPfmB9dyzQwK+BOK0NMZvAxIjxCB4fgdgO2jl43meU+CLYaSSSNiveqip
qOKwnQuQKuFr5q5CP48DAGgURcrrCe5qZRZnrQCxtnn2EkJmVbVgk6n2rrPJIOdAM0FwVdEKBVKw
lwXalWK5D0wYBVxa6ZdybnZzhd+7LGHC2gIOi/5lk7/iYmM+uOOvaziyMjxZE65sLQCzuaUvcqLf
trk0Pqqir03VhsifoYFUPXbmNgSlYg/+4LVUqJvmFiJxly+HoCB7NJCq/Err2/ob6p0eMZZaxDNT
rrtqrWF+fPDj3Ng2dZH4x4Sjpb0hhkl/8HxMcvvIgFSRokWetw6iccRYC2MA0E9weQJtWY/Weh53
iz7Ch93z3C0MyCwznsL7Vm/XE3H1yLCpThBlMLMEeqgnJmkGuuvCniZiZFqoOtRxOLqnx8T0URYo
zHBpETI9xYnKyTF68SvroqLbsZbw+GErKdbJSMSghZodWRsSqu5badAL4S1e2R5wSgfQVSnTXtDD
XRuPhgta5lEZmMfzrCe+Or1UeiXBj+bV6xK6Ns+adxhjWXXHJiYS0Y+GWeb3SrzJcmr3tZY9QjEL
qMCye7dMUgvj6Ltq98wGA6hmFU/rKFoIxsrTdd7DpCOJQsLyOZxlSCXTeG3DNsimFQKTldTZB0or
4bIboxdTC7ZT2qAhQh5uJeFCoc5GnhQZxOQvgCFI+6t00ij0esx+VZr68KoLYFAj2UwRGX9NDt5z
5AijdbLipj09EdUsL8PIcOZJZZ15RXnMazl0yx6AIYyv6zJQz/WAJojhS0ujqmrXsbJvpKYe87Q8
l0xU+rls3iL8f4qg96z6Idn1xUA66dDsvGK6NUpbcJMOo4Epg57itvAI/WmjYhk68qao7Qf28ZC9
ZXLpTSlXZi2wkoy4Z9dAWJSNOP1Q40HYBpKu6s9mR+ZePzHZanazi1KoXFA5TP7hsKzMaqs3NvTz
MADwUFkbuqzMz+BA4m5CvRpeJV76WLbWho4m5ajxrMulb7FgnslA5Ko2b5hu8PMo/nPkOGujzze5
xN96hf1CW/FHUSu7VA1W/9lPvirgNbZX/3w/KQz5y+oxewrrp488+fzwr22lqmJwY2NPcUJAQAXD
95cGXtX+UGS2/I75Z97zLw289YeDwl1ktv35U7+2lWjqQf0YQtP49/MR3h8GBckQ14POZlfweyhv
nGwqDVREduRV02Fqbkvbm7VT88XhRvyGv7atiE/4rQgwqc+ojsoQ4hO8OaZPhWcWQ6Eph3qQAI2R
HBbOauNH9zcFKb+Nc1IOILCxKCvaSwcDU5ZSnfXWjzd3+IMyjRBDfHolJ3UUXykzVQB6DuqARF2/
sZwXFikiWg5O2zFlolHr7ot23YbHhtwFJXyOAkq+RzW/aLIrv8eiVO5Mw1/YIO99nRyIqz4N5gPB
WJ9/UmGe+PSTigPnm+9cCyUPwpz4LrSFR8+6LG5b5KG5oh96GjmkZ7KWvlgSMmX+1zZD9/MP8Ap8
Or3pADINExwU6R+vysA3HwBBmNJ0sjUexi4KFVdxquQs5izfgASibec6ZCzRWLXJkxhI22v7SwWA
GuhDZtJOliYXFg3O6aKV6ZD48rZ3mrZaJemdmmrb3pNrnL1SpNwMWhqttNghTMCzgbZEEf3KalMA
H6DjtFSaEUf+uAqmQ2eGi9Snn19KMwIEVpSfjylReFNEssZdjaXSr69r395zlmJBNucddR6VSVQz
iH4j/nSMChTi1wQnlAAhacKWJD6PitvSzbTkdNEX67G8qyM6yRJWyj7bEYd+EUX7aEhXHWWdm9Qg
sUGbNBAv141OHjSUuagbkHiEvk5BrmQ/aadsf+LkvmG/mKYTJgXDQ5nu61/UBF+rPH/dod9efP3k
delDp46aoZ4O8kpbe5vprLnVVvQND/VMOWvWpUuG+Nxxx6Xmbqttusznw720AT+zklfmnn37T/bb
Py1SnlTzfnt9T2ogOq4TKxWPbB5viKLM+nlVz7CVyl9MR+LR/+u6f5+OTiY8O0ynJIAocJA4Ol8P
P0rfDcn7Veem98VLoJzIX18v6e1LcFpC4nNVmhOqhwCiyZEedgvJj0ZTvYBC5R/6ry7t/Vz+89IQ
ylGjsCG5G87JLSWufrAsBK2HHoVhNn3vpOPnr/VHE+DbAU6+O7gdVtb5qnpAst1iGO0lxOvxFzfo
q0FOZllncEwObwzidLup3DbmtWo+fH4dHy1Jb6/jZHocWaurKjXUA6FGsHZxeJuX2MCcYPh5Lf/T
1bZ9+FTldf7S/G/xm5/yYqyomDT/5/0f659/9p9zUd5694fFa6nron2uxsvnuk340Z8vnviX/+pf
/qNgdj0WFMwef6RhBjOnqcKnhuXlZzFt8+O//+sn0VDlYf7n26P9c/Yjfwo/jI7iB99sjUgd0KiQ
sQVB+85f/bk10kUxDlw48ehQA4Qk/h9bI10WbGgUgLStBG9dwAh/bY1IlRL9E/ZU1PD+ljXQ/H2e
MDTVouIG1d2hJH8yH1mA++xU9aWDIoHRaVjEZH16pinvk9mXmLNWYyujRMtqJC4eM3VRXTpVKl2o
VkcuK5i+zLr0ObXbgPZGbd7WSnXLId0anwyJlcqEiyzkX/oK+RzcMNWeVn7d83+6Q5afLZMAUPX2
Cmb7sOgKyVlWinpHt1B+8kt4ZKU6FMtcMMr6FqliJ7hlhN4NC02wzNpYrR6KV76ZIJ1NQWds+8za
RlGFzAEcmhFwXK0BpLVq+z0dVEJRBDstERS1BJyaDVYN66PDAcVYBI7enduCvZaKkHVH8NiqERjg
mNHMrTBgwy7xZxps0gWyqAnwK0y3CX8NgNr6GNWZxhmnSe6x349XikKITs0eUIrPgdcGcxNcXIRq
bAZFkuStCEc6UJCeomMd9ggaKQHoTdLMbMGfswSJrgGgtM1e6XSCU0fZQF7URgm8rvIq2D+CaNcV
CNS4LRJ4EXh3hu/gbsw1t0EPWAomXtzlw8Vkw8nLaj2+GEDn5YKh5wianvcK1ounKVxK0hyqo6tl
CWxKgeCrBIxveuXyDYNuz6kU0YiPArhOdKUL78pg2FUXRYW84MHONlnVdau0hqPnmZK9D/UeQ0pD
fDi7jBrBllKSKq60wX0SGKhhCBz3mZ1YJ6gKKISRx0rjLzziyWUnTV1Ces8SEcBkR6hIRJZ5QKh5
MBlz3AXNYUypK8EksFy9smPXAeqNTMHcVB356KpBUnqHRiCIQM+RjLvSA/7jVJQ5BgP0sj72ZHOE
bdHzARq1FaGbXa/q+w7x4hbpLPRELdGOhPZRPqgoz8j1jBAwV61jPAARagZA+dRaedAOXd6by6o0
2PTqeT6X8pziIp4H/FHtSguSh6TDPyoPiotDv972Q6rNks5Xlobu2edwQZdS6vxQyQk0o/Qib9sb
T9L2dQHTlt1fcT5K4bhRRciGn09ryeiFb9xIruXI8xa2/dxIwy5M8BHp1tkY5M7CioJVOYwLkxIK
13ywx+zMSNOHqZN2hhKepQEH8LA1vH1mU1NLzUJbtoF/FYyDvymDZFNF3TouuUl2YG2LPsRLE1ne
jMLco9+yf23M8DB0eQe9EMm61HSpazulq5jJBoTGwibCNQXB0GOyA9r3Ylok9zTpsiIKpSCVWu7q
HCehjOi1h54UAbzRd04/uMiXXpPoghk1ihs7kQ+q3t6YnWwDmHJyk5aAY249e3opSuXSmNqNhQBI
S9MFomLNlYNhR5yQG3XdY2BqK7PqFhAtCnz15FXH2aWdqz8caNGA3JHMOuOlLiFyTctiP5bTUop1
t+Ae44NCdId5DMOX203IKylJPE3jeE0WMj6RONpUbXBEEHtIRUIpqkZvyNdWijbYZ/jEkC/SbDgf
y9FVsQZmHvIUdGMEWqyIKV2jz3PTAvp4PSwJJ8dSp4ZPpt2CRyrWEnTMOLAW4D4QYcr2IpOBjDfo
S0jcO6pkToedvx4I70pz6Yx6PGyBkHoJHbV4QKKSvqg6qltCyggQcL0GJEfynHvt5YDfOLJliOJo
TvrszqAiW09owXXGaCpX99QDPYCrujGXOmwjwx8u9cEROAZ1TnI5WMReXqVkTzoeipbUk2Z4zpdk
Jr+M2BeY4ZY0LNw6QJFlgxH162CjKeN6mKo7WWm2k2Ffkax9ZwegPRDotemPjCW6lGXMwYibLC1c
hmYBdnkU54BFII+urwUXWhXs8067VD0aMQjL1UqGhGDNEJKtJadb27W0lIPkKkJ83gArqfiklucQ
X40Cy5O6XS23S17F89qxl4pWbzUPBehQLnzUtaBh6jnBY9lM19Wnvs3v+FV0aNDIj2CaXN6kEqFd
745Z/1hntZvZ0i5p8s0kWTi7kad29E0DiUUiKGDW0JUhY9C0VmrT3aZt9tCAuB1hk9BcWxQBqFkS
tNeZTWrWkOak/TpYIbu7vpJv8yq65HBPwXFYhl7Ld0fmYtasrcbg6bRWSJkuiAnaFdgXO4lortBa
24N38LRpk+kI4jwFLBTWo6wNl2kyHgtP1O76WdHb5I45Z5oy3BeEE44VHiXVQSpeQdKo6kNWG5cA
W+WZrdRXrWHMu4KKeTW1s8xIzhLDRzfI+aSnlVSJiWrK78a42akkDhdFwJvduxFQn7oXmx6gY0V2
UxXjVlHJOlX14CB5svfdH8Pkqq71wZ3UZouMBSggICCAxpIU/aAwfxM1KUU/hOkzUBj3nLZnKu4F
RLdEKig/zFSaZU15F1fBBsLjgfkWmWAVr5S+3hGvzXuZWDHod+U+MOpi6WjxdUpEOxX1eBVryjGK
7Qh8KiogEERLOAlrLzbdXpXQ84JY78AToGj0XWVUUZVh+QyyI/0F5PrDdsjGH4WEnR0JfUOqo8h3
4Q0gdDzqrEXb+osqkDKXLggVy9Ylf8Cn3JGtO8mmAAROJiQPr7OWoTwssrxg/qkpSPvDtBzSbAfG
fVc1HLmpzM+qpkCohugvhLcf9NI2U3WedUqsOuhYJd8kUrOfpP6+roonPKq4c2uHWJdh3+nUslOZ
5e/Nlvb488z4Fu3w+0HFQNWkQq7ShOHr1GVFgaWq2jCTDojvwoigwvhSonb7+SC/H4vFIKZQhKCo
0dSTIxftUtmkYy0dBvt7Rd+mvR9ycK3zFAnc5yN9tOF9O9LJuSv3MNRMHiOp9nmgj7PCAu40bXLz
W9Q+hLn5xen4w2+PtwmAG140WpXvS1QqbSjbS3L/2EkPTbsr/acsefr7V8Rumc0yw2ikJr0fAt0y
KRxjERw7HVr1qh3HRYIjJ/VX4UQeRXP++XAfXBE6EQ4tZLjpKlz198OJ1qU6yk14JIkKSS98UMLM
4i+u6fczvhCj/DXISTW19qQGGh6DoBOcNdVZ5ATz/7fLEJf5pnQHwarpKs6bR1q1JubrOL/2aPt+
PoiQMb2vwry/jJNbU8RjXHRpHR4HamWY153wSG4cE9w9uS9mfVDb+osRP7o7SAYA4FLpNmDQvb+s
OLQ58EZKeLTKi1L23SLZWN7L51f10RhoKU2d5GLEPKfAAc/QJNPuqugIhGuRmvCqc7dPbj4f5KOv
Duudgy4JqRBRR+8vJO8DywrDIeL+3Gc4mDgpRkIP611FZLDTw+29i89HFM/U6c16O+LJzcKmDdZB
GZFGUMEnEIuwgS8mA+X9N2egFzQUSwfLARPI5H09mXzqnHjeYFDSY3RWbZoNi+ceoPzCuAguDTdb
hEvblZafX9X7IUW1jG/wzfd4MiSil3Roii46diY+bh9IOeF7ar7+fJSPvzudr4SVky7Lyd0yJ+Ko
GszqR690XJUuuN188d2Jb//07iBZ4mkTgkjr9MEuCH1DGAT51+LoS+GM3eZDqPszP4q+uJaPvrG3
I51McPjj80qxzOioEHVqXxjeVTl9Mb19PIRB/B5qYVTJJ49aSByQrU9+fMyyg4EqfQA3p7bmF0vd
R68QD9ufo5zcelTjQQMVLD6G8VMiwasgYgbjGCnScXOU4lVifHGPfrssyJeAt1EPsxQhjTxR+KqO
ZxWplSfHpluV1UNvLsrp8m8+aCdDUEt7O21Tl+ULDcrkSNIr0GliKuku/DtDCJkbwSHObzrlaBhS
KeGkdayTJ2naYG77YoDfHmWuASE0iaYGhTfs6++vganT6hV8bUf2eWmLVi3aiCygzHl+vZD/6bLs
6jkX6sH6fRn2/+eqrGguf1KVfazCj2Jq+aE3FVnM1MheoQaITQx/9WdFlqAZVWOjxjzDdCPzV7+a
1fYfNDdF+5iZW/DUePZ+VWStP3jeHY7UGuQRHQja36nKUht+N9m9dq0oB9JKJqZTaIzFi/Zmc0K1
lsxASZ4OWhp8KzVEegliacwZNOWUKV3apcnBJ98YI17hwflGJL0/k1vsTKljXke2vtfyZpPSJiw7
m8aaZaXEa4RQkG6S3FEWwDgvfCljDUK94wA6j6Tv4CIplmYKrpOdRcLTQKo6lkAzsaJ13SDUStuo
vZCphc7z1rzqY8HU6MaDYyQKhSBtXgQAxcshvx5H6VtuZDcaOr6ZrCIkkitEcdJ4CEJ7q1gcroP6
qUJfbMTg3H2gzkWkHtGyfFO7mui/BjmI1wg6TxUjdstexoqdbKAqS08nb0MlJRxB5nAA8PhYJijc
jE5r5/AZf5R9OlFrAzXl4KDxZc6myA8Jq7dMyyPmSx83/ZBLLskeO6W1DhpusFYJdhN8eZKBLZJJ
AhHd3e2qrrgNZOde0i0qtYl2ERPu1xjptzicOIlF002DFatrlQJzZ4/AKX/BLT/vqvDSaYWMUkvP
Cj8F4jyCX293Ut69yBU6SgzRlqtqWgvmHKqjJGEZ0pIYzrpUuFpguoAm1bmncko3wG0c1LEY3QmK
HKdlSn9BTrSeQ7JdjuNmlsqjtLDjeHKzgZonS81TMPrbjMrLqhEWsZqyY2aryGy0ddtWBy+pkAay
xu2DsiqZdEyzTVeUEzl7Gkm60SgF1bWxbwaYoFquqm4APVfnBB9rEb5OtkZ6i1oxGx6xAFHs4NCZ
U0+f5+Qj9gHl+UCTHuXKj9yqw9moxECgiBMa49je086g5i7X7RKBgXmW9BqhXFl1FdQg2NQGE7ai
+hh/LSeaT1h5gw4PWG0SHS9KqDYS0xVMpWZJPcIEiG6jBNI3Ull/A6S4llv1W981iusHtTxvalWB
OaJGZwUnbkhJpB0HRkpkXRdRSRiIW9R0yVuNHEnPi0FTL0JViCrjbuXotLh7f5vGhKsPpfrISQin
WTaGB7YlvcuWdTna6bJtKF8q1DXIV8u+j9Q01S68y30J9HFDzHnA/YySMTmwF8Tmla7eTGr/0rlc
Z7YhsoJzGMpsGJHv5ohCI5MzAVF+SFIS635Qt/kS2PTbek5cAhJx2BPMkTSj1PdDjIU/1FFo6oe4
/t7Gx7G4zv5h2vnPGiW0IJ+vUUVeP37QceTnfi1TSPU1mVwzZFOsVqZYi/5cpuQ/NMfALS6WL7bc
f61SSKpkSg10CHXOz4Id+maVQp/PksbZHd/K/2XvvJbjNtot+kStQmik28HkITnMpHSDIikSOTUy
nv4sUJZ/2cd2le995zI9FkUC3V/Ye69F3/9zgfrb88bu9W+VDJ/B5L+U5NxSmJOI3MJKYNLP8IT8
8fFIlEgNZzaic64B/7mMjNb6Nupa5B4sRe7vdYm88zh3tf3NjuRAeI4AFcJon+kVq4Dm0Ytkeed5
sTUzQOyGcmsWTvvUmJ2O6BXl/MaO2JLJWDyOBofPGM5YXA0jxVluX7tusetC/dz19n2YTS9DOL8Y
USB5027txoUAQY6DkeUxByhicz21N2MfrDuhjqRAYUxv2H8RnNj4oTa9pLUitmqgtSBUsCH2qZAk
JUAW8Wx3mxX4uUXhuCh4vIMMGUn0Q7CvcvuWSfltjr9+nZqk2AXj1ewqzLk991JR31Wm8S1yE/zd
7Ou2RQFfgb0h/MfYy30yN5kBSOs2sZ2L3m3Q/KSETxTZRa7KUxcBVakDw13LxtFBuIaQsobK9as5
vSWz+qGWc3Vpqp4pcoHCVC3AMpVPDQiGHsZVhu+4NQneHIswuyhKol+d6tm0a0gnulatO029z42a
GImO2cZtun3WJDs2b3sdaXDlYP+chOdLSdQ5KoUtuks4YGRl8E3pgx+y49zHBf8k+5FBsVc+FlH6
HQ3ojSujtVtlb3oa3dslJvS2TeRFYAUHtpQ3cYWrobecyIeHRwpEZ1+ES1JNmcnbyLbv8dey57Kc
73ZZnGYiSavJJWhCc5HbFg5j/75MVmU4ngpW1a02AEMri10WC5IelxwXIljgYxWPid2QwEftvkUm
vLErvLOWPfhioAqINHcra6e/6hYHgjM1LKqVPLQkRD/i5x/JZu5u5p67zDKjq4KdDbZ8DTPF1D2o
KXkN+gU4EqmOlHNt6yj3ia3/sxOEvkFBkuU02ePybWj9rZjcbR3M5yyNEaIbWy+45mEtr2TfXWRe
ek0SybfYRvRepDN+xRHLNgEU7UGrplNr89jpVnJRGiWXH5kmkXCfhBOJVWsNIEeSMfCFire4iq+s
Kj+bnjpJz77uGwT4TLcICHTkVpj1N8l2N7KMh7zNQNmULPV6+zwt4TYAw+BcEA/Z1xSPQXPPpvjV
FuOlsrt3di734C8PdMMXSZ/qBy1yAJFnXkN+Ab+HIMm/ZzpbbGMGxuuOGWCtwj7zl2dHOETPtYJs
qGv52Qj0ayLRtrWXvgoR+G7pgRKI4G/lZn7ddqWLnpiyM2+Lp8hmp8i1CZgEZPRJZF3lW0sETUBO
k+/k+cuAsG/TTtmNTrpHJkosisTbkbMn9547X2RFe9np7OE6+XWw8xeqSbZP/KGDcZMQR5AF3iEi
5afJQGWYcm9WZArEQXbZUduvCkmswpTi9DbSJYER270VHT0iSE6xrooblEBBcxx7fQn/LPpVbpjz
2vNq0lgT96nLCxR2ZQ5muiYJc1tnWstOnO8+LNgNV6M0rsdJHtm761cRL5bP79w6F2QWANxFNYVB
YHya6yK8VbqenRLEc+BFumozZCLb6/j6VxUhwCb7tYCVTW+30b4VJuxg0vdQ71WavhUJasf/WslP
/fNiqvyHa/pdvb1//4tLmk/9vKQXiLuFUMcietV1bYcv/X5JA/2Q3N0e0pqFx84A5mcvibqZCxUj
Hdpmz/vsQH/2kvjpqOwcLlaTt3VBmP3pVv6nWxoTHrfw/wZnn7e0Y7N8QH9NVyv/vL8xhcFavU7T
s67JVh29Nq40Pyb+Q+CRSR1aF5t7w+/qpL7RnXTdkbNN7N1+PBwgFO2KxUi1qBla9xGBQLWq4v6e
qDJ10sasjJ6DxVtht3AoJ3Ygfv5pvEhxHiV5u68Mi9RN7BllOp1HkfWMvo2XgJmIb6n0VGHpKOyR
9EhMHiNmj2pxfXTu+IgB7rtdObeVWfI/MOdqH44W3ZZb7mXj3RCs/9GXJFnkSc5Ro+MwqYY2fQgw
nQhpcg1oExnBo352MaYMeUKy5OJVATBCSa9c0rgqY5Wnwx6QwVe5OFyGcuo2/eJ6Kcu631DkJ/vK
zEmcVo7LcRdgYqmj5y6t23VBXMQuTHnL5uV9M5c3r/t8CYflfaSd4dWsP19TY3ljx+XdhXRRbdLl
fW6WNxuObHjrLG+7vbz35XICNMtZEC+nQqhzPkwcFPVyYkTL2VEsp4hdE1eplpMl+jxk+uW8MTh4
guUEKpazCEgn6a/L+UQPx1GVLKcWEGfz5FaKJWLuTeDJqXDq+CgdYesHDzxYujWWiJzJSfVXvTbl
uuvEyqnR9UbwIuAeYotcsGRQLWFnzFvNyslz8tTgj1MJ7lWl73gwn+omvSg1zHm5M+wyvDc+zuNL
5YlL4nZ4kHKIcBVEuqg4Vob6aoj0IhmILa+N/N4MI5KcIvdNYnExQueqyEfcRFHrpDgWJ9KcTLM3
IZVaUTJfEmBQrLR02KQVQXUmjHMEUtGhywMqxYAF9silvMnn8G0emeAFWlmyt0VsUy43qeUVEcoh
6w0RE2lxxJH6o9E2azMaN53erp18egjHdlyDXbKQXPTkjE2owODtXrX2kMPEsLAvhTlgdcL4xpj/
MlluaLb2Drs4SB6LZ9XyUt+dZb+borhfa6MGEnAgrlTh9Zsqkrc1rT2R7dP7dODGJl6QdBpsOnuB
1AXQ6gZnZB++AOyg0DirGuSKF5METgvg4f903vMg/E7M0RIqhP9pgeIlCx1vweRNPbqqBZzXLQi9
UkdAxO7b27o8+toC2is01YIQJgqKiBe0RTjPEqdMj8VC5Pvv/vhxfzC6+4f7gzBmVgP/T1XKh35e
H/R4qJjZEC9HMzpQvvTL9cGIEqSEIX9oQH+/PiTJlNhmPF4e9iGEHv/e4/EVejxCpk08Na6xDCn/
xe2xYLX/eHnI5eIggVI3+H/9oD78Moisyxq3VpRE13WHiGpfpwNuLss560Yc8biHIhBYkysUcGrV
VbPm4S92ZMBrM7Zq62pk7t0Nth56H4Pb7JUozOCF2PVE2wxDkYkTwtcmOOro9PRNOAsRXsu0iHOq
Jxkt/pbOGFmPzNacxX7WeAQ0kjvmmLgnJhvvJ6eahzaMHCgHpL2K62jvYIskSi+xxMocwRkQkqe8
xC/yhjugHjJ1DnFusrU2p8HZhC7uzVVK7pA2t514txjd/JjT/DfhWCqNv3/0r16qv5pu8JmfTz6O
sYUaQZYN613JJvmXJ98AqML5bLNJ+m0+/7Nwcr/wpjCgJ7AVZ9hnufWzcHK/6Jb0+Iq51GOoo//N
o29+esL+UDghyjIpnKjPPOAQ5p+G8KpucmkRtXyuqgZ5EWlHK+VxAFfW9KAn9S5YrqpBr9dB1b1q
XUAjNzKFH+WpsYJsXafiwevrtWZNl9aM6MdCAgnTrF1pYXy2sWRPgXutZaHukxRobGrkdenoXQ6m
dVHm5c4NvX2XGGcsRHDAbCJdVQgfntvnzrbKbktb8y7s4oS4HPVCL8NLxybUWlRpsHJrazMxjln6
1l1uxgfNGhy/MtxHAOjXZJCdLerAVaeKHmFYn+EWnXbBiIFzsrybLAmxcaV+YSEznCxmMGFWarzT
8n0ow+RynrvqpWj5cyar381Chb5JXAKlxJ78NG0bjjrpk9kQkcsYa2DmwurYaWG6MaqhYMDieOs0
qv04s7Zenb2GpMG3CCXo7Ztdh7kt9Uuy/QE1jltHA+8xpHvmSZsR2JlfN9FayUw/AC05mVoWH3WC
EQJiZ4nP1yr4cEQSpIAevMG+q/XYZlSrWp8QW/4WnpJnN7MPxdBpq3L2aPAbKztQOV/ZzKnNomj9
pg2+4Y+6TwQqvViYezkF76w8C0DlIzJXO183pMuyQmfgIqTcl1GAgyfNtXtiWdEejtaBOLlxLcPq
lkJvj3ba8SMLKWw4N7Vfxk3ATrHXaIxhvlSJt41JJtvMUTwBQM8gdIfpm9LJiutruLStmI1br9Zd
TsGUETZGXCIyorWg6t32g+alNMtGjsg6KA52J6w9Z9rgD8JND5VrrUdHclqCLloRk5Xs2tLK6r1q
wjK4c8lOOOp29D0UJXBy0HrHuYoYLGTqoOrwvtE41bXW2EtRtT5RNJsm6qxN75I91hflqXDVZdPk
H+VYqJWcBzqC/rlqSKq05/ixM2oSM0zPBPdXPTOT0DZOM190xXiR55r0lZvgrneJtyiBxQ/WZTG7
vBLisR10zZcgZRKDissO5dmhYO1cBNMxhTwq9nJFybpLHOMis3EVaF77Df/ludfSB28kkDdn2BQa
tbUjEjb3E72OQXmVzTaOCogL6WUUCvwwYbSBIX1ZZN6+JSvIHxzxPQ7iB8yOtR+KMMKPrX034+qx
T921YG7DlM3QX3plbYQuvsJvR6jcYqUbmarpk53e2Kn8htji1OjOd2duTqQAXs26PIXxLFdNaZ3H
sjQuC5XvMq3ONpVjn8xR+SAhtJUwots+1LpVGk/fDOc+FRs5uacqjrdej9MpiGLlF2TXxz0DwTbN
brBZCN8o1ddKtEwRu8AnVfM6Arns2yaE1oFUjjjZCGHv58VzwUII8bVCL6jAHGWRdwnCHvF1eubG
9TvJb91ATdk7Y7hL8/mbZ/ftts2Vb3PzW5SPmUhCv+3ri26YD14VvyK0B2+h64ynBkBmcXLXZtar
p1DNdmNDeGsNulEQRqHnAS9xifPIjFoaKc7ClTdn464pCLr4oVD778Zd4vj//sY9Y9QO3/+i2uRT
P+9cSGUSSxilK05t/XMi8bPahFSmL9Iky7Bd0qDsXxbfJgwzkoJQF8LU+Ez4+X2lYH5hOWEvCwrQ
M1zVxr+5cxkT/Kne5O7m9iaJnSUFwi93qUd/rTdt9mmDowW0jDrxDHOWehSBXnASY62dCqchiEFo
U/dNJtExDqavOHBnv3KSN7OHZsLCYXAYzRKavKlNLWGOWlebMYl5bg07Kh8Z+EN+wYvVhEuuNdcl
+y1jNVSmepGgbd7bTgvU1igsGEYNh0LBTr0g+HgbdXFSb9oMIo2fKUnYh0owI0wLLMzjdWo++WFp
XMESSxas2KjUhwA6wZIb5JgVByTyQiELXJ0c2QVMJkzOfowgZIBOIb4H+GVZp58reGZkGHPLDje6
OV9E8M6Q7lzIMjvocNBGYhJ9y1aYc7j6/LLpu7XRyOiikvZOq8R1AqLwtgrcU7tA1uwFtxYS0XhR
NCWwLjGkm8lOkpWqRLJ26u48ts1ZpCN+jVCSuUIsLEjDYROF9AWQFLHoMoGZ1Edqtndxpt1R1OUW
0ZFtcS3qdL40ZUrocbUNKzt6JmfId1qgb02QI0lm3GyW0QcHeOIbFfmlRukSW9oBNzXzO2Fbw7Zy
iUt1alwGmBV3Rb3g3TCe0Y6PqwCy/drQi+jch2xc4ooNimkRejqK8tYe6IOZ6TfapFam1xVgcKil
YnFJvMy2B3a/mrpKPjQeVDAwnbQJmbul4IqJ+cl9OG6Qxiun+moFHYWVLihWVgXrH7+ZyMf/5VX8
bXv2DyrqhUwD+MayKRCwiVPY/vHBhpsyaCle5CtDi6qtmQ3GC6QV1wckjwH788/67/xb3N1/f/5d
A116af7/+bd86uf5twxrcVTSIC/zWKAhv/Qc+hcaamo9JIyckIu6539WTMmXdIjJ6Kt/nJo/ew7g
zYwsMSEbGGUQWv4rOyYKsz+dfzRDS/DaMqvFbMPi/Y+PCVimghZ5ItEgY565Z/BEdoFbp5dJkPly
bm7caH7i3VoZdZvthtB7Ak3WrPIoIN443HlBBngZEjI2Ao7PUt3YfYmgQTt1bKcwTh/MsVnP3d5K
xNcyDI9BuMUMdtYTj5wwUrh825q8taPPoKQaG1ziNH8HRkxY0mKExq/2le6efaEpgAsN7de5zPcD
FNm1afXXYGzNTY1Cg69rp7kfSScgpVzyOqw6J3ssBHkFudLe46r5GGbjuwt4BzFRGkFSHO9ydxyY
2bK0mcSTmhFNQDwE2Gy7uLC8q8KeppOQ6S13xOI8Y146BpxgKKX4h+aDt1jyHyIs6vU15hNjTZzO
EgKB6T2PIOLNpfmmpc9AbaMGZlbDFNxiK20v2vLAadV6MIdJ+laKN4fLATrQumJIQMa42XovekwQ
2CYemYyjiInQFxXpHh1NDWFZdKtWjtWGqwOTteYtmbrEpgHjTWEM9AphTrwMZcOhvWGThVxqztRN
X5rJDqlQjQeB2tJgarxqFEdwVBMvlRcpE+rafi5nxQUFPnEjlXRXZUm8W9tF1mr02OoGXmCRnz5M
NzybEpNYoq2TofcBzJdHj3BikJYyvgwsLVkPXtccI4wou1Fx4ZAsjPy8ZpIDNMgMdnrafRhe6YJ/
qzu/ToNwr9vitQcWtcLVDNGthwKu15yVMQyOPSkr754oLfatw7CBGAAy2ZOHTOuIt7KS7No16fl0
8Jrk+oA89liq72RmYujpG2vnRvV7Purezlouw1qJ7NqZy/DIT45ZTjAUL26JwcqYYm0faCh9GwK0
OJ+pAEy9TdWa8DXAv8yUXqsJK0LJfpXEFarO1hXqNDjlcAoH4jS8CDcEVjpzV7V2tuGXJ4kQsz5i
NBc4QSNsZdLccYuQ26sBzCLHuooo9V35quXIorAwU+fnsYMhUNnM9WW/CQiTEnyXhY0UqsteeefC
o6Jf2A9zWrSbCMeZthlNd6R4p3T+yJDo7V3GbDeljogPFXVzaoNZg/YAeFxp430m9JCQvQyukuml
wEnqRzbwoa/NAcZjbyjpvtDk9c1XEdZPWVmgZXI97ukcXnKfM95ONCdnnZ086kV5ndRN/G3yMOsa
URiRu+9ie61Ip567GxivaBlABvrYt+uD19nvUdZ/o/TZDqGLZsATH0PSsuUt4q/sFo9ATZ5He3B2
ZiNsP8vVcoh4l/woDl1KPAzvqVju0DZ37wFVXtd6dKwIhVoVqrxCMPxm2N5Tn4lxravxup2Ve3CV
2pdzc9fM3gO8wWCjtTQhdadYwkwxSLB42pkGgdBIzZh/4JMauJmVG92GyOhWTsgiv8vM+mRp8wts
cAwBhbGPy+iYOsHZNYdLMZr1emJAyJvCkJ9tArvcOMPrB5DiNXEhlttpm+xDsyc0XnYmYi9PHm18
FStpl8QVWvmr11icWVpXEMddX5eDuLObZtglaRofQ4gDkK7hNaXT4PItgROfBP7JauRMCsohvMkJ
Q4Y+DoWhW16eWQsC1AX8oW1lRZuE3MmdBhvtNgtVtXYNqA2cMN2uSWzszNbo7SqpT5s5idzF/5lx
wjjTbuymZBM0sUmaPTkq3pzYK1tZH5SR8zqV8wE8wxmS+Ck3kwvk5fnGHDSDqEQz25haFWxTjOnb
yLG0XRYEOEXZjewNe7QWjtkqjrKZ7PjY2BnmIg1J+G6jnLfWGOghswLXPwX2smrmlNJQg+yGgr+p
pXprEeyFBIfp9k4kTMqSHFFgHaIcKXIGGxxTvwH//it1lvLj70ud27h/hxzw/S+6veWDP6sdXX5Z
Un3ZQWvYTZYtwe/NHvtntsJUNLRaTFIZy/4csJJIQV9IR8fgk7TXX7HU5hdU6yy5qfB/i6T4F7uF
TwfPr/NVB68apQ4LDNumDvizkSwyCjytnWlcqrKuK+dCZPhoiTyVWpNrazgIKYFThpnCRAl0cC5D
N2/1adIdovbZk2IPz87dknM05KM4WFZhXnZcNOvBaIoTEPb8bjJJB+xGWV0UcVu+tWE7HI18SO+k
PiCVKROQTO3ovAdGzBxPusEWMOkCMySr4lukcZOTKUCopBqqlfSyXWrow3rOCusVcZD+Icx4vjUa
m2AdjxUt4Q96xjrQo6uw6/VoJMaKaxdEUsQGM8+74N6g1rjtKpFFd1pipWGzyxy9ng+M3QJwFrTf
JAPqThEa/IHoh7B19zTtIH45YMrpBVV6f6OU7hKqw/pbroMZd/yVbVfJJrfiOnkQyWwRhNWnjsNG
067ValAmAZtWj18m7TrzIPu83cxUoWu4uXSB09FtK2TlS8ur9cqzTv3SDcPPpTHOlx6ZTRPtsqiX
1nmKC9NENQszdYoosdflLG9nvemdvbF04CWteJtkHP/QLudLK6nbg1u7cX8LlFHfTsoqZtOPeDCH
y9zLpkL8t275EUWzzEr+/kRYkvpW76p4Ud//Mo9m+fQvx4JuLu3K4he1MAj94Vxw6X9sydoF+4vG
NvLnuWB9wfaALMVyUATbnwF/P5sg8wtYedpbam06KzL2/tUQaMnY+cPSEUnz4qNwCFSz8GJoy9d/
GQJ5UM0rkmqiK5G6xtpanlcXKeDBXp7h/vNxbutWoeGcBI95mC6PfDDUTfIAbS7hQlxeimJ5P8BD
hyClyZjsb8bPV6j78T6FYz3zdo1Zz5R5Vf948+DH8hqmn68kL7/i/Ww/X1a3JZZVWQxQV4VwSFCY
wzm5z8usf5BoUQw/A+1+F+mYL1FjEIdXQX6fS6ZFezb/BEhYnfNY6Pj2yVdr+8cq91xGoVY1T74s
ZqJLRVMXcDAq99pM++qrmdfJV2FV1p70+TZc6X0WnB1ND91V5ibxJZsEAiNyQu9C343J9PJK41CE
Wu5z53cgKJz8yrGL/jZn7EVqZmpIWFxFv+9EYKGtrd1vBgXR7HutV86rXnX2uHLc2HIYl2fOrdCh
Wvtzm8d7Qkfnt9wQJtwvOTWFP2kMg1GEelZSLYioDpKa25vtzlL8Qpp1PIr+K1QqXafQp2eSid5F
BWFgEacVJ08/9xXQQXOevb0XUhMTdqHCnaO1M3kEffLN9IrmxnMahyxpW2cGxXTrHvHrlWc21YCs
mJ/mdSHCXtuEjUZmaRiUXX3AH9JR+cVG8jVlTHc/el3WUayAuqc21OJsr5kFKRjCrYLkUKOHGI+5
Q0zNuz244bsHJHLHQjmAJBaVoHM8eDiNICM5F4AkUjdunklFrNS5Fihj7Z8Jkv/VMsvm9J9PrnX8
Hv5Vvigf/P3Qsr9ork7z8GO1q/+yLWaozQBmIUlYjE1QKfzv0DK/IIDDDI0rET/VoqX7fXJtfGGY
Y4L9xLOITP5fHlp/MbmWZNK5pknOqKfT0/zx0Ip565soa81LuCE0MhY6sRCBgm2lxzzm4TV8vZ8d
pgDw+gzif4tpvuvKYB1GRXhhdonzkkZLaDerJ63+ljiZrl8PesPeOOmnirD1vvDOednOx9DssvhQ
t5NxT7SXsA56oymx8jzRnvPADI7pZGvkcadpot/FjpfJE8dV1rx5RWgPl8qsgMxWpHn1iM3fA4hl
67KIO+K/pNuhAV/uae/zym7rqT3IzECVRAZ2Om+CZfQ+SwdFtFNH2slYRvOqrgn6K8CAbqKRGCBV
q3bTaVN8stoJ5XcwV90qITXmpWuKyFvJOhjmHX6H2Wf22V1HhvWCu+0bZK63xCZLHeFL7le29V61
+bvtlUTx9Hktv5MNAiUQDlkdDodi1qxtm4oOm2lor3pDi2N/SMHA0xTTicLne9JFDPEzHYK3Mbb7
fWMWxiESQXSBcSHfp7pyrhiAj5RfVb2Tyw5Q9bzWeVrQaLsMAejF4Hv1pGZHTbW2mddCww7Wbpuf
3M7Duh0o53KyrPmQSoYYsUEyjvSinRPX+UqFBqOKyU2Y0TOcdop0XbneO/p4sXP7eZ/p3tmkytpN
wQBusMnTVRgo2kU5PkuyYtbpMEOct61dqXtEcLej30ZquErNsSXriGGAly1ideAemwTm+5kVe3rH
CsS8xdVVvCeaJNGyjounpCe2B6o7iTt98gPC/N+pZf1jB3aPxxTsBufTZybh/xIDl4/9PLNQuODt
Qku3GKj+NG02v9D0/Ci/lgTen6Nm/Qu1Ff52HY0Lh5P7y4GFUIxjjDoLlZir/Ut5C7XBn6osSB+4
m5l2QzJ2+Vb+dGAJrn+7RuNyXeiVlJfNZwra1MUakWiMPclHG8e+p95wqre6Jz2sJAYfke4dtjkA
EM7r1PPGV11IUly+rSvo7UDus3UnnSut1WtfJF22KpG8MwrxegKlpmhrVHa3iqrwChcAhkYM6n4S
lOcG6LxY1CuWN3yXlSg3Udn4HfAzIvfi0ygJpgUdcylQhiqttNZlZM5XEQ6JNUO0jKGX+i5KpACq
Uwuaczvn6bSj0H0Vo76NhlZHlxHuHafFzpFS4qXLwLwevqKAeMiwEvhJqt+ZVvsccgHtcKK6O1hf
9jkkDGBDUkm7Yv6tNvoUvjhMKXeNhXXT9dQNc5JzKfG0RLNxp+nQbFgU3oyGdsw161225LgroqPI
rZfGhIQHlN/oGifltfzX3j7X1HOHPqccF7xrGj6Xjf3sJa/mAMZNmm+N570pozmrOX6yyvEtlW6+
pmSe1ziEr5GoMHO1hn0ewT9IWrJeZ9GF2BfiO8ZDV3SaV7NZBwucjYAwgwkUWe/5IdGRyFn6Il/Q
5PWSKHeql+mzJXDAot45JZEd7hhr29s6zHCKdhoWofEBz9TRGOgpPac9umWf0Brm52qSBOimNam6
VWHspnbgeEvKtYq7CGRr5u5SJ1LrRGMpa/cBqKeOIEY946vOZIDuHB4D16Hq6q5trTtrRPr7VFj1
TsmCHtZwITimBwNZzAo6AimJw8wGVVOHXFhoJwxcnLxogT+U/YmW5oqEQgr7Vr0mQt3avXU9hNoh
TBz4xUaykwkJxS1OEX0sVulsP7SMDrU8fGzK9p1cFeGnM0plq8ML0tdetHW7+blIYLDSlB8Dp3oS
HWPzrBkehEdYEx+l1M9EvTH79G4SxrQh3gjDmV5+5A0csrisLuXknVOJR7udRmPllgPAiX7YjO5Y
nmFboJ1KlEvWVUx0W+rth7ZDBmKq8aUNgHgwIQzWpuIWNtPkqUvXcAUezJZhg+vFzoZ3bS0xFPlu
izgc8W6xYq9R7UfdCIB3AWmthkuJNGSdJ8wMUVnecA1Em6moZ9gj+VVcGAVpzqPNntdUPj67JdDu
JWXlvjxrdxJE7vSRatxpIlS3pdNszGmE20xOnSvLR812PhDyIWZy5Ieata9e411oQ3ZVTdOdQVg8
MisRbewJ+ceU17dR17xkktUEuYa0GUcJDNNXOn0az16yckF0K3f6MBr1LRTdaSjbm6wSl6T749Mp
2vWcjpem14++rrEMQOqMO6FLFxxm1PuqbT8qATUoGwdjnY3OS0wUBUUbXuhSpOi2xnoBz9rHljEq
CwPhws2Uz5y6yOsn0pj7zH5rWQaudHicaw7kEwTKkdjSrttGc39sAxM0rQpv7Wh8SWKYmmDW5bat
GxQ9IQbkRtZ7m1ycOopxIkTjXWuxUBnBJmYjPO86RcpeFJbipSt5JVz7MkPSvynH4KrM4KzKLhh9
R4R37K4I6/TuvACX0gi/xS6WQmDKboOqugpDvd6GrZs9KxDTsMX7C4GblO5uebGt5Ik+ngTWfki3
HKvSD43odSyQu3YSVsVQHDnQbydZ9vuajJg1F8ANqw1jFS8RcIwBd5EWIx1rTCRpNulIbnGMAlv6
aZ1dNFF/E1uyoNul9QbsShKs0jd4Dfls399ZduLu56J7bWB0r7xKsbEsjAjyai3QwYkP4KrcF5GK
d64HkmkqX22Td7vOMFvI3BVE9CGMgBhYXGlM5VfMCJ9prwO/dSdcY9Nok6PKPDqCH7AuObOtqtCg
7Gi4w9vytfPip7LiQRoC3FxtCPyFX/mK6w4qvUmCajtq4RbdJz9T+MgH0xzoRSWh5pEEuYtIjp9S
/0Cc383AnYiy3i35wTQJ4mcrJKlx4nFzF7dMwr9zsz6+qMQ8MH1PLidhlowjHFyS2jCsRGo/UAjv
FCFyVmldJ2H1PtJeU+clz4iYYyZ0UF7trrhA71rjEGBs5hILCWpoD9Pq0GYV8YyT0W1S1MrPBB5k
h2auH8iRrdfM45/EJM/Uu9+HOsNgmDxw2Wun2EbwzP1/aOLwTD16783pHkzlgO8OX2HWlcwiJAYY
CyhJgW+07CUOfrVgrBznLSYlYY0RNfTrsoLEUrq3epDXGwswMaHbY7GpKoYdfdYFB01NL7bgYWij
3thi9L8fC1ZzbiCOcRi+qMRZhynLtTGpdmVd8nmnugYyo7PW0kK0dNYbkHeJoT7+KjX2bEltX2ud
/ViiaAmqbNzPofmRaOi1zZ5JsGGoaOOOBeBxJ2P1ajfpSiPWbUPwVQuPYPJW9ax/tZv+ypMYL+eK
X6wSnNrRxKo6caYBjknyohXGZRpDKW/jIPHrvjrFfcaPulW7aZZYkE0wx52W7pOQ2jt28SCjhsQM
aixIlURlG9tzyS7EewpNVm175lp+mff9uiS8skxJqJmE/ZSjUVqBxLX8vBb3VPAPyvOYFseeXw7Z
RdfoFj5Yt/XDpmQzKKO71nbqDUrhQxeyS80170EWHcZRbCBm0y5hE4IFrc37ZKLQG0ORrY20OAgq
p2X8pBFr2LwSPnE9Gtzn/LS4QpJ9baMLnev4fUBZLyr7w9bEvQD9i9vF6f3US9HpAGowMuOtn9TJ
4yYHwWS9MdwFOd6pdRHqSG1Bz3ozWXOjnT6FeQ4Yd1SG73a2n4h8GwavOGIuKAzY2sn/Y+88liO3
1qX7KjfuHAp4M7gTFFCeVbRNM0GwHbz3ePp/bepIIqk+ZCj+qYZSR3eRVaht8stcKZWu0if7ymAG
XvUJ9pe43AU1txzbTh9DFC5SzcmtQnzZrXrp2oJfArC33OnOeD9x5mLWtFAoAZHSrzt8/7OBpJOn
Nb8OwGMQyg1FAqV+sOuSSPhcot5BIeV79xO7ay5IoZMfptoaLf2hGvjqRo1ylYVFs+JZuNDMuPML
gzh4n1Y3ZsxnZFgKgJNoYp1uiotJb4p1Y9JYZXffEuLVK4pt7+uJOUXey3fEEvbTnN2qupR7Y8uS
asnMBuCg2CM0aAeCs1dm/bFqm3UhY7GS57ZjOZQxY5rJD4ezMcgMLOVT8WPJm/3iMEQNm2WnqsUD
koJHCdpdNVTpquWUZ6UsfVHNkxk5zGLLLOaH7K2NPDU/zYgjnVVOKIec+YYEI1SWPPRgmQNGjlFa
PAd2+jXpemgUNYpEp3hhPlElXbBTajWdDhapLMWfDMxqQV3eTC0+LJ1qS0PyasBeHbL9DILLnTXu
+XhAcDQcm6nc9XElkLeDum8TZV7VoaWmV1mxmA9zGZv2qZaMgf9h4Iv1Zttc9QaI5RfB6N87qP6x
chZTZz6X/d8voeLv/XkJxddEyyL2TGR9FeTRX2q/qv2Gjo+mRikOgz6BmP/jHko2AwumAeQPdw4I
Im6P/1H7AdO/BFZtmA8yShep1n8wBVQsRgpv1H7mkza+Kw2lnyEltLK3whmsh7ZPG9qqpka21oXY
hXTOIe7C5hRZhOxp/ePQI4/ymV9CPshZztHBpMh9l4n9MCa1fgFsT1QsajV0QFPfGlPfnsY0qL5X
XZBvLLE/R5mFMz3EYLqqHInoe65I02Xb5N2ZmKP+KMlmt1YCBqArhuKZtxRBcUrDysGmxDlpygxa
vhQuQMQUNwsi3x1HEeMRMk1zM6pGf9G1kbVL+wLt2OoJVCrGXH7RerkDidOqP0qjzx4MOSu2odHC
XKqC9nlgNAvp2I59q3HGjZUwluyjoboaxWGx5yIbxmHlDaOiD2cQs/rwrWzDSD8onIyo0+rKtN8o
L8klPXSSCKKpyDbVQVs0ZyuqUJ1CZYrgoDuiH08ko5ZOW6zxxKmLk6Ac6hEbb5mNtkVccahGyTNo
I48PplQQXEUVnL8mg1rnTP8dVMFgejQp1Xtm8GKULleGYh1GprGfe3O+6cZyeQZZw6pd0LyN+wYP
QBxi8QmqIfzKkxTT3Lgsz0EbLT+IPT5w8FkXYbyXrBIOuWIOq9Hg5iJVI1umrfTzJp0hLocKPWBp
OVWe0TkpuDzY1xkD4TBet3mnMb8ZcuIjaX2vW3G2yxzlTkvJglVSja9WQCIMQiA4vVrzxo6qfNdJ
nXNXyVCEECxlL1cFj4C8DKfcVgaVNmTOV8mCvgt6C+bElJ8RRSWv6YZpM0hSOxHHrwkCT0Fc0S9U
tru5CgqcaXa7w49iPoWLYnmLw+o9BWlytMjxk4BlpqMEFkmDxZqPbbqUj0s/SQceXhI0lmiyC5vg
gTbe8a4Qx4u+nOIbiZb5y0gcTArGc2AwuOtBKGnx6Q7MVDq/nYzWC5uZhE8I5II5rPoD6z4Fhdre
mkbtajYbmOcE3ZQflTjM1TE0e6dqBaTB/g8979+1WKyOH08xjn3c/s/5a9xWv5pl8Nf/WJLJfOLz
NBTbwQqMxof09ocxQ0UAxK5BuQcsOWFD/XNJ1ozfGL4qNpKdZrNmv55l6L+xhPLXXsCLLxOQf7Ak
C+HvtS+DSQqUTZZ3YgIKRg8hHL4avzZcH1pEyvBMdaTbqvQKfMZgZvt58xpMnuEqCtGRR5vOOH6p
t6+RK6XsVNk8ncLU2jEEcNYIPUmztvLpYtKwmgGVndvNglDhm1JF9kRBXLxRqSmEhdI55oXVWE7L
yDOoL/qGxtFV3nN7uhDYvMnX234OPZkE/uK3BK7LapSrbRrRFNBIuryZmP5uuNyo/giUetNEeu23
5UjHllnhMRzMywQTBlhjjCh9GTabmPiP6odNmUj0DVP9flM0S/QzZ5i71hQc+cnKxp/o42jQ1QRh
nv/y0VVzqGN6Lms3HZ0myaqqp/qqw5BFVHVZL9x8WEOjB61SDtEUEbZCR6LpANfoUG9ofT+Ovam4
Vied2BW+GKl2WzvtTZMux7AYvphGXpAMrDn0xvqRQ7Uf6vUxAiepQP3cKWC7vXAyD1RjukRxbepT
Sipc0FlkCi+Wct43hvxYJQlA/MxiNyjrcxObyZZwPAKV/DUy0/kQVdRh6AHkADtT8AmWIORpS55L
kykLtU9UvGn5upsmY4N1eTnQnHkYAmkz0ZLZSXG4yTOj8WA4cO+vSDnGFzkjCj/QdKAoUbVZlmZH
Pet1ZNTZJimMwqNEYdfQzOqGrbIr2qkBr57flE13iDQMZdy9zW/zkLarGe1wJavmeqLqFOZO7MMr
wqlCQC2HBzBV9cWoF7GrgPF3U6Y3qBqIlmFi3Bg6dwVtotK0RYpBaHBwCQc6g5W5u6jNAZXCaXZD
Os2cs+Ufutl/J/Vgb5rMzA+aAyHUjVIjvqoKBFll0mNjpcBHoBhR2jsM3jbk3b5x6d0tpnTqFOuu
Y+qToZ+49tz4QWpzu1SOS25fDUWxpkjXS5rAbxVplZvkHcdM3dhjp3qgGCDDFNa2lYd7dnogBkbo
kdt6wuRwUcog9uJm2lNweLnwjw5KcZHbEYcnBWux9Ky2hESlaVfqy1ELpK1jfZmCp9Je9vAm7LVB
z01jGXdcl7mITF8HBnt9R2unnqdHQ50vw4CbhKbS3oku+ZiF6qPmmA6GKOXo6EW4GvUz+yxlLNEq
WnBQGku9BlB0a0/tnU6N7BTSB2ZExLqHSvTUzEzTh/jAuWWHl4kIy6B8qaTo1rbzO6kSLKtxbYXV
T9Wa9rUj7aeJOh7ckHtGjJvM5LaPcdbTSqXf6b3eXetjsuf3OxiJ/KT1UHBmjd5Fp2wYNWgVrAh9
SreTlKuPJUech9YuCdFN8xygAQfp9RRY9LpMmYK3OqDJJO4ir5ZSagfoRYI8McPgUiXZG/laHIfK
iE+9vnAuypoBxGTPMINvGD5XABZOB9qwDuyvC73WwJbML1Krmv7QmqeAbgiu80AhO91peZjRn4a5
zw6cbULu58Z1J4O31uqxpquZMlhFSQ5DOd/kVTq6dPFU7lC14Tp1dASjm4RPnnsfeq41ceW0tcy8
CKqIN3upKOw2y686UGTXrOeIr5zDZ2TcyrRd8D7OYEvm8JjkykJfSHCVCqlscpjBJJ6dqDCWJPlG
IFE0rXriWI6HJdkOSffTasZzZlAiGAaw/7Uxe1QT1FDTeipnigbtVnV1BX04GBNu622BXVUccQLD
mzlvJ7Dcklr9npvdtKlqfKbF8DhgOTf0jprduH9qO31dNXzM6UhG2rpXivaL0Rf3hlISFJySmymb
j4Uzbrta4Qs+JvdhNO/ika/oRPUBZ/wwp8VDzszrrlvORms+TpFxKhN9ZevD/bg0K3ip+9hahvWg
OywWcrPi0/ALM31CE+E8lJjMBgxs9Rm6QmfHu7CduOlqwM0Tw7whU8Q7mMHlCAvrth7ifadBIKDa
AZhddKgDYJhSXFzGFDdvyyS8N7hSu5rcbA1BK9VnHNLI1gW/fR5ZR5q+t00a7il9fnS4GQd0UFR2
euYWt02RTlryU26ups+SzZF8jLd9Bp+DBqVnuUv3vNdejAjn0q6KfD5ftUgKq0SH9iJL28YwnwK5
2g3IBVSu3wBN9bBhLuuWyICbx9GlrE8/A5n8FAirJ1mHUKcu8QUk100d1Ld50eEjLsotdVv1loaX
+cj1kjiFeuyb+MkMyoPcIIapatmti1xGx9P18VJWoV7ZTaihUzYPhRyFa0m2zzLWdfw3dS1SscRH
oylfk9n4FmdoJiDqpYexMnlecEH5FLEHrqbH2XcKwSyGD3lkeuOsXtAe/w8p9hxBsLcS7OcUwpz1
bz0GSmooeV4E0ilJ7sz0S+p81Y1/Gvp69xLvRqwzT7GZ9ryEzD3EtM59dQZo/+qY+YtgGWa9V6c1
cZISv4Yp44BBHjY0cb1+dVpT1X4me4vGy8CFxZGC2+M03cJ7+/hlSH/+7WVEOElXNVMV1sC3LxOW
yaxZ6RCe+3zx6wRnlMr3sL7r9csRIddsG2AA/8o6v1s5dT7ED64SZfZc/OIGIf7WHzcIrgnoNYqC
iVtWeX45X/95g8B0IJvQy6lnIHQo/ugPC6eN5ckBjIRPiQAwINA/RR3N/o3EG+4CIrnI++BB/5Go
Y799XPBc4bgShlBZU1F0cES+fVyYUieN3qvz2Wb2cmklc34dK5X1AOZR3c9jmj7OSmetbdpzL0bu
zi6mwMhTjGH5YjljdxPJZcbJUEGIoFret6Su8QvwLmyx8ikT0fVBU4KjYTCCxw7D3x/wwHvUOtu+
jOdgK9nOflIXfFNdBJqv0tJvcSAXHDBJxcsza2lTtdNTHkXhvqyjxdWlLvHUQibJa9sVR8v5i6PW
q0iIHUFu7TmI2+gt0ngoUjrWmpK+sol2O0AC8jnV+tLtY3BXjgniNIqNLV8jEduBp+zK1P4x9U2S
H9WsjDotySx8yxL+tJLqMZrCwF+CYRWn1T4BSiEGhYy7FwfOM1/Iy1AJH+R03se91qz1qrgyylr2
GXRJm84Ml/0S9toeuJjlZ1p2UMAh72J2Ng+HkL5Js0L3B1UNtqaCl4NhZbqv82rEkjFcLQ04hSqj
xghsxELeBB9RymBKDZ1ToqHiDDPvjtQjf8UkpIEJKNRbE23zZmusaIpr972aPOHdn2hU6xgG2mbi
K9A+orBeuhXWssiXRmAgmcCCBKayTXSJmQjAkAlySP6CEBEwkUFgRSb4IlIKaIRNgW1KwEdgBK1S
aCSmZl3lVqi56TRtVHglajJ2zlEXEJMGmgmkjMsSuokcttYqw09RwT0hQUxOCBJKIJAoprCXZAKT
0rYGzV5FfmghqBgGKBWSjjdDhE20JV0GugvbCYiKswWBpYDEMkBkSSCzcIncRALVsghoixmYl3OQ
rBdoLvkSM2mF7+LoyOeLIL7MlVdBgCFNj5QIE8YMGFwsUGJytcHewQbuwI+ZLMoC4ckAxmQ+FlT4
XQRspnuhItSpgQuGBbn/ptviBKMZnGuDcjo6I/Khb5FOOyp4/AG0zVm5B2+mkd1spmPI5Hr3sgb9
q+torF0fLMb46i+eux+/WI/FX/xzPUYvpwHANOlEEmEb/ujVeoyGgpUdJhc4r9eKjvUbtnkgkDjm
qWlB0vlrPbZ+g3yk4HVVWLGxkP0jS/3fFB22AdW2QTtYeGHVFyvYqzNC2499nZvziLfmsqFbb2Yi
++pN+cUphJ/09fHAIETEVsS6L4BlsBHf6TlEA1kCrb4/M9TmlP1FkukFuGr1rRJwPji1iv/x6zEb
+OQVxU/06ndSJ7uJOTL254S5IZfqsHNcGOxqDh24bK/GprT3Qwd/xUyNwG3NtZmQ1UXADgy/yzsu
JGFhPk2qo+5MLSKcW1e6p7Sl5mp2dDRK4so2qOmqkb8PUvrTmaQHUdlRKqrOnE2njxHJdVXM5DU1
NbL9huMsnVtxuNVTc9PSyrg2DEuDihCXm2CeilU8xYnLQAPoLrlPl9ARZk2Azn18bQ/DATQcMOIY
E0cd8CklMQ1zNtL22Hn6DJjJHK8CoEpc0bRtWSqXQ8Sp3QZmJPfc+pLwQLEDVDPpriFI6g7F07Bo
l5MVbQdINL7StRu2hY1e2Xu2p8mNzHJco6y1cKzmixKA2o3VkXnAT4bJ/4Y90dyaVNgngCIZHUdS
d8Ucnf/R50z9zhlV7R3aHpDGhZBCy40BAa7+Cqn5CHb5QtKpP7Di3ZTiOHaCkySnp3kx75WMAa8w
0LuMpNYNzZdg8b4D8TX80dAvpkrfB6rmDWl17KhV6Pt5N2vxpbzUqyLg0jPNx3Gejr3dlF635PIq
NMZDO8j3NeuyrpciOL3cGbhH3CCfqd7ti8si7cAHYZxd0r0M8tSdKhOmdEdYu54YPAMVkQkCZ36b
WHf4qmmaknCHqHnV7/p+7EhJqiTv43o+wm6mzg8DX5Z/Z4h01iP7uu0bxVXwfrtR1KyVKt8HWXzZ
F9LNOBSUQ/KxlCJIGTsugOPvVoSnWDGTKzUcfafP8UNOisdFxdOT+QoWMmdrBvTmqG/GZljLGIE7
7ke5IntlWd5A+77Mg7pejRNp0S5Lh+tpjq6JyO2asYe8bT+A0FtNltHcVrJEJXvc/Cw0QMWBQwQU
h+AScC0EwEQJ0Q+ZHowC62GtKwmjb2en5oKmqYHMlkZXCcLLKB4udINxu5FvJtnwM6tY9VNwaFsq
go3BbZcOUop04p7iqaO0Y6G4mu2wwxXElEHTA6DP2he9YSPjG0KsHDIlvZLzNh1BbzVZsa7iEKrH
LO3Tdrkl4EHhctad4qa8SQbC7AnXiz7AYd7b6rPTJ8+JZV+UuGDwkwApG4GYE+cec8zYg719WWb+
3fQEWOLDTa97/h/3ufn63Dyzyb2zOIu//MfGxyiDLUUXNwbnP4GxPzc+mYypKjsm+w4YSTFC/uMi
Yvwm5tFMfTHIWBoBjL82PjKmpEJJ43OBESPhf3QRebtJsB3B5RD96pyTNcgr7y/HWqRIY4c6eYrw
L7enaXp89bb8YtvTXzoO3gxLoH8Q/DBgFbHvYQ55uw31Qat3AePmU78YvqpWP+dKP2VBcm003U/6
abwGLKWX60TRFanYwb7bNnXi91ZVuaZkcvobtU1hNVuplW+TPlrrbfVdymDXqM6xN5oJIB0i4BJl
Z2VQjBRaX1dr55Ce7ZHaMBDvvIkrI6rzea2V8wL/XzZ2k5BLRiBC2ouCQl7WwiKKrFKrWYDrFalF
5xxPszXySyKEGCfVv/VCmkGrDld6GtUHRQg3oWKfrcqS/AxNh0Sc5lOahGFFCD7JNCpsfohAipCD
5qY4UH/zlKITGcRLHSEcjUJCytCSYOstXoO6FKAyaahNdsR5fkF/koQQpaBI5al07oRE1eYLGGg6
x0O4/RYOQwk1S6udpxR1q6j6fSfkLgPda0rtfSKEsHABCIEyVlvWc6AMo4tzZhs6kten8XMnxLRW
0B5Q17IwOUuobfhGvShQH2n0Bu9ubYGSHXUhzzXqcJEBUjbR7ZoKK6cQ8krd+ZIIaW9Js8tGiH0t
ql+H+lfVqoj9J3td0m87IRCqQirUFv0mFuJhJGTEHj1xFsKiISTGAK1RFqJjifrYo0KOqJF8FkzL
CwZKQGD21Cav6KO/1+lyH1EyTRRNNtkzk57rSEidvfA16MNFhAZaQikJp+Q+GrAY56ik2TAeIzW7
MYV8Shz3XkVPZfR8zy1kXaKz2ouxlqbmyRQCbNM5G0lrH0t+eWhs00aC+pKi2VJwvGrQcLV0OlZj
ArmpDgkmz3iGuhfJl1LwEA2YbwHWy+QxDAR8ue2SNR5pHpv654x+bHeJr6Mn9438KKEvtxYg6xTF
meaqlWxkXxehRAtJmuqiY5qIUl8hV+uSdRtxH64rnOIcrHDf5QAZFGyHkpC77cUyLhg0FPs4NhdP
qhRCBsjjqOS9kMslteHGJyT0JRlx2ycHqUdcV4XMbuBZcxm/XU9Cgu+FGA97D4O5qbUM8ZDqVT0O
/BH1PuyQ8WP0fEQXqj2ExI97f/CjF91/eJkB5C/zgHyWgtlN4iE+TWJgUHPM8BzeCnzbVYj3/2Ww
UEaejq8FB6Yk+92it/QaM4oobSEYYCo7kHyieH1W3a5uDl03nSu9YtJJjt1VNAGqUut2yyQr8cO4
PwLXZRNOqwIfiAHDc3H8ZVLZMvWs8suuLglxx9nZIi1PJYLUUmzBbxwE1Tdjmb80gfZspfWW9Y2M
k5KvHAXpcM6kY5C+mPSZUKamQfKIdrAbLCwSX1UryHChF9fjAP4bmtFZp3aalWXVJLqH7tR7ZVUc
rNpiQVT4oa3xqujx7sHaggY278M62OI58xOo2hV6JQCdTWREF3Im36f0sOCZ2Y+gjDbFlAJ6CwwI
Gt1qtAPzoHT4fAI9tr5iVVFXywLlhEDZmN+mSk4dV6xtNIteFW2pbVLmCxOMOG4uFjs9aSoTYKe9
UmqzhSXM3CcnlbWMhseSt1PxIfmhZja7bB7uGDnf5mrOWRfGiNdS9+7PY5c7rDn9fpTN8qnQO4n1
V/oJkBQ0ag+OjZfTvaYy8WxrGXeDObUGhifRsKGfe96w9Ef3Qc0rqH12W0BlhVIkO/se2Nge5Oqp
oM91lUFmgKlC9FQvrVujLpFa9YQZYK620Ez0IKDAsb41g/nWLozlYQkKyMg9cEuMkYyKR0xBjJU2
lTwUm3KuSxpzcP00g9E/NDH8s8mecaVjHYzYlZDG9IHxZzrCJKNixJvz8tEcKgip8XqyZr9vy7M8
W/u0nu/kKPGHOIW0U0V3fabe2n3tHKZ5GnYl+QWvDLJZmDypHJflRw3PmceAtX7ozUrxqhJeE6mb
9NqKe7B7gfagToRg8FtNRCwI1CZEBj+5JeJ6e30rfYGu4XzjCm0JtVTcyt/cEfMccmGYFKdOFBJM
y87gEjU27frjU4DIa/3idbj6cqHT+Nq/PwR0FnkjgpynPMsuWlO9Y1W6tPP8ieUSAMNMsgD23HaY
KqrL0m2rRlD9UATV4sBKdTQAyCY050RBf22i7WkR3mMiR5gbflC1x92Ur4C+2CdTDjmu/Xmu+8UB
5pc/OSwP8ma0FqIlv32HjLwvYyxVxYkQihvOtwJXEZXHj1/EEbf/vw5JYkZh/T5rgUFiIUK8+xwY
JFZznvbDqaKbzZVMfccEV8eFULNvUJDuB9LwIFVZeUUFL+4CeTfaI1LYDM830OSrJcm5Ry39VR9p
zk3BrtSXA1dKfA16ObKVqwlD8jI8xRJ+3MDgPVf53pg5I5HZMZZrQ8me0y6DbBvGm2Vkztkqph9R
euennfZNIs4OsrFHOqxNXPGOsiprOFBRk7psRRxtInMHofAHyKhnblaEwejem6zsYl4sIprWLOHU
H5ML2H65u0x9xLmpi73IQWhR4vBL0Cv5bT0yuXeU8GjkFZdIOokQZUd/KNniEKghA1ipX8nq2ZCt
wpsWrrCKlh0D+bnHG29YO9bFR1vKYDyNynbGsphpGOGLChJUBalXY1C96Bw9Jr5mnhX2pcfke9t0
BPpyZQLBPDwTPYm+oVlsZLPOyRFFF2opsnVtvSbE4QBnnq5z08xODmgjxVymQ221Fx8/DsQLf/E8
CLspjwP+H6Spt08dNMuy4M+6EwrYs+a0ubdUQ3Yy0a6JaERPYSsshG20UszJs+OscVlRL3hXQF5F
KaSRsL2Ai+zCkLswSvtB08kCtLlRr/te1ne5oVK0FWPHGOxBzAP0fEsyt/JGJa49u5E4j7AQyXmJ
KGPUN7Q4kCWKWuwHWCRdaCiiaXNt5su3pjSfscmCu1RKa9Xk6p1JwEuHtORpWKihRJF3NogVNaP5
AKpuNwbqdwrZU7caWQacbGsW023gYAEcGqIU2o0JT2qhRqWf1RtChBdpEt3UsXGdW87GnLsHyhx1
l3Oj7Jt1z1mQLhL0u2FlC7KZlkiejHDkAWZ7lngmsLJqj4omPSgRqPEak7YfWXChFzIJ0lT6it5s
ZDioTjGA3iRZEQ2ennbyyrbHg0WL5KhgJlQyZJ2su9UEY8Gedi2oGW2Uv9VwYArL9I2Zn7MvvBRU
MNb4o1WY67HUvciKk1VcUGfpxFdphW1nthe/bGffzGAPV2ICYobcS/gyDpJzNdbdT5jFAXlNCM99
su66Pl2ZIL1VsvJMu45mq21ireZTUsLcp2gE9wIn1LQns60EfqqM92XZ0TsQX4ogShhRuphKBxxF
HpWeW1vJHrFKkFqkkmynI+iRdKTwaVx3bO9wlyk+w4XpZam0SUb7sCQE2R0AHaOCk6gFJO0utIwm
0LaN0b6E1boNiw4ja30sbCAjXZdJ56waq+2cWXs9HA80TNa0wwCqg+OmrEYZWFaF/NVyS8hIRGg0
b+DCJ511aRq+lULmtk8Y7815XerbwBruEWnAm8kXptE0/hToxyQaCaFh2z/06mCtWkNRVhaouc04
LF7FuWFbzlSVzCYOgoFTiFV2hIUAbQxBo3yytX3yTRUozTc7aOTM0PDSHhUVTbG9yEnGT4PweZzT
5gIc7e/o0v9aKijGyO93ilcrg4BZvX09uAhFzspQlj9gaA/TNYD6InwY9e3Hi5DQ1v/2SlRuMO2k
4MLSDbEzvtKPxxaOdSIPNPYR6vWreGpXcaDeGpDRd1Ep8cxNw6GqYkBLiqxc2DVOWTMpISEkkP1G
/l2K9KSf2OevpkLDW6f1X6S4PJeydZNxfOPWs+pa9WbCRuIVXbjOu/ipSPR7Kcqq67DHHGVEEeVg
Ri/cSy4HC39WSOhwxNsUnWbd4+24qZbMQ0nZ91q3izUVkMO8MyrnPKbhoWHbtqT0kKoiMigBcbRX
lMDe51VDk0ywGyvFTTJCJ52RPy/ybKyyMXysJ6e5V8MAQESrhZ+8q2/1lt83+tdv6ruxb2ritmsC
ezrZ01O0fJ3t3x0B//Xx+Ozff7dxyFLGGTlM51Ns30DOh9tz98lj8fFT8eJbffVU5GaeyqkazidD
vYypVeRtkqN59fGLiHfh/UMO3RVUCeZSUhnvHr3JarGz6PwWjrpSu2/dmHMmuYsn65NPQ337jL/I
XxpQJoWtFmwTJ9O3z/icxJD5lko9cYz5xqbm3WbrwJN8KIOre7dw73fmajh+vY5X0ZfJf8Z/85Vv
dLvVdh//wurbjMfvz8Wrr/XLD/rqbXWG2KmckGWkW1ODtIKMedNv8qto7fiCpr1WNrzPa2XFrNyN
fMeroAadim8f/xTGr36K10/nOw9LFrSZrYK+Pz1MO9W33G7tXFouIys38jb3xupoevnGOUXraVvc
GNtb4Cybacu65y6bkrolD+nMczzp2G+LTXuOEO7d0PvC5P8kr+aNsXN25WHcNnf5+ubjH/39tOvl
BP36R393gpbUNiYCHfNcujhA1+2Pal3dKl69SjzSXV7sF+t8X24uvx39fkeIbVol+8R19skJ9uIq
8M3U/R6svnz8U4lK2188yH+uoe+h1nFcDo1l8lNFO8eNVss23wS3BaMVOh1cLKNus8IruSEDtlWf
ENL8j19fPL4ffY/erTYsNdLcVpjI5aX0rXE8LFJ6GnrCdR+/jlhVPnqdd6uOTfKTTF82nzhT0/z6
TZ62o/l1hnVMtkeq1h+/2q/XuD9Xh/eXSQn3nWbUSX+KyNDOwXUVXv3/vcC7O582UYFi5lygUuOg
JuiAzmfT4E8+mJfI16uvu5RXdmHNfNHK6gTWZl2pD0tvf/KpfPY+vVvcWoXC2sFKutMkPhV6+7CJ
rj5+pz77Pd49YD182r5o8/k0AhuIzVOeTitmwB+/yCdPl/VuVTKDUJoR59gNADDoTuGnWUfSrV9R
TLtKRvU0AKz/+CV/+XsZZPfgadETJsYvr88+eMe0oIq7/qTnP5tknWoRIt/m49f45cfz6jXefWky
KgekOtKnk5Ho6PdXef6JqvDZC7xbEpc0n7SEqsaTzKKN/zjVsk/eppf98aMvvthQXj3HUczQJ8h4
jrkbuIC59sM2veCKsNoTH/bxQrr57zSl/3rAEaGiD9ca8Vu/eknYe5rSqRF71APCcMGqehHy2u74
TFpgN7iXtF3wB67h5ysicleSe935Yle/fKwvtT23drC7/ty522IVbT778X65kb8+urx/cuJmlJWA
L51yFhu55EIw1XeFsnLTje7dF+6eBonDT6IjIBvu5gNEgU9WL1UsTx99KO8+90Fqzah2Zs4S3uBR
d7m4quk6h8y7dk7mUdv03qO6DtwCxXbdbKqNvZI+WaE/+xGsd7ciaeqhHYxVd5IOpTt5KJvJd2NN
y8Sh/zFtKz8/WhtpI/0MH7XVtEnPMAd+fPzterl4ffAuWO+ek3TQcr0teDSb9bSuXcWNxalul65u
hx3NrZAZ3OVEyc69vKbXeV1trMvebbzej3ajGz1ln6yULxezv/08f33djXdviS05zIYKlpTa1zfm
xsy8aU3C6RgfFPdbuIM5vbJ31RZR7wjb5M63OR0UfrdJ1zexJw4J/zkc/Du6F6CuPyVe75lB/e/z
+dNz/uP//vcL/9H/amgv/tqfQ3ub9mFVJS5KwI/7L4vQH0N75vnYPHCdGdBhfzey/TG013+jcQ/x
lkk/I/oXY/F/IuGa9huDHNXEOCxMa+KP/kH+8O3uJG4tIhvJxYiruSGKTN8ugZMM2bNpiv60AMwS
5kbkQDe2889Wd1ksVn89sy8vZOANoLkI4VuVRWj+7VqLBGAmenWSe8O5Y+QN2z6nimHZwsAGLaV1
Ra/vSGIsN4mK/sFtTr9PbCt8rMrE3jfh7BwUSySP6ZmcLgFKXGtzOZSeOYfg/Yc0abWnYapN+3IM
6mFAV0I0G3Rw82YqZecxyTDGxVVVqj4kkB6RTyJwRbtCAP0hnR3fwPYpe23xzcj08WTpVXYGC10h
ZFdphoIUTNoqG3pXyoQdwIrHUjvLLzaBIUvOjXAO5BWSTeRcaor8w8BbUNThmpDzrcVcvsB7YAgT
girzW1DG4Tv4dZzcN6Z8F8xzzeSXxt4WG0M21z8j4Pt4wE4KNodeG24yodGNepM8Win5bXHBu5Cs
qjnVrWHusxjHrEOB8rKo7FiSpP3Uk7bY6kEEnLerWSYHaLtxJmGcGGlR65xTW7QAtlV78GhMUzdd
Yd3NivSAnlJ7iIgI+10XqhY2NxQWGtCJpdsydSO6+Cc6da2kZvP/2Duv5TaWLIv+yv2BYpQ3LxMx
8KC3ci8VEEmV976+flbSSDSQujVgxGAiGv3QcUWyAGRVZp48Z5+1b0q9hqJt2ql/WXmthNZCKedO
L/df9JizCiZWZBCrCJ6JLpXDLKQ+UIB2PPQlRXl0Ivvtdq6KZfjNIwZzQaafFpdLZCJv8lnFgI+e
h1TxtJrjWw+F6AqZ3UQimMCteeWyW8+8OYX8OfL2iXGoL7S5unKnT/btv/0cxruwgjwAIlDHNJBq
6iBIXz/qFDe6xqv87NRVvUP8NvppRBWWJLVOGcqKnHnRukKOZ5Y4ptjyiWeV2LJyj8yoSKaDRXQK
+5OK1fit7jNnUakw/+o6X7j2+M0yqE+FLoQfd+w/F3GO50RZDFOrCrVZT0YcdRwiDgNv5UFzlp2S
0nA2TguA62ilndWoYcygqktKVMqkqEvB3sXKJUlXUIFmmaaT/8c7u+u8Y9VFJ41DrDJr6XVLkrCa
MYlPu97RloVHNpec1o3XZStFS06a3sZWz86XcsSDZjkFZRQ5/BdH89eLyFPKS0b7ile7ZmoPlPsX
AZszAkbIE7c8ldskXLIQ4MddAinFl2duZAGak+JfFe22R2Ev3vPN3ZR6mBMt9PjTwtNwr6KjsfGy
2VhZKz1p0Ma5kNRMxA8WMkEjhjgDqWs4HiljT2wJd9HA/iIHVIXbSvqBPcwiLwrqQOaF7I63hld8
SzrqJAXs7P+wQp8aejgZ/H5PvvI3Vb3ZoqPjr563ZNH3r+ANZqssF45lckuft2QoLUhL2Hf5CVnD
F3jjB7NnUtckC2wSzQ+0gF+UFtWmovuor3swf/ibLflNvMleqQN2ty2FBx2oMHLy1wuIKt48j4sY
w1oLCJpOnUzRu0/0qGPeWUhnuY+kuULWFcVqT7Ubx8gBYxQbawB0PjZ1bNFf6FyjTY2nqVLQQ6I5
+aTyRgif2sqOm4VZu3M8WlZdx/9jJDvp0KWRFv9aGfXURLBAv7YP7aLY+BaUtbq5t6AYdo42ryXE
QYOSnxS9fmvS38/OHFDUzCKmYdKswrxcwdw6qmh3zlRjMaq4YlI7ndBwdGyq2Y2FRr1TKbsPpR4s
4Udu4lJewEf44sutsbBct6F3HxFHSQV5Cp4VUYZZHRo9ai3bzY9qldZqLZxHfnjltlAhe4By8zbv
L1KM1ukoyhedmcirhA93hN83yhW7Q7KUQrKREuvM0eI7fJjy5aBS+QwAVtHl7l6XcfYjzpt+Jqed
REE0PIl0/AgDwMLYGBEG+LllTK0+G6io2XPMLw59o6aBvotvaqOUoP+ms8bOLnwcOScpLVEg6L0J
ldcTJ1WvC79ZqnV/gTCdXVL0NdNKuJRHG0ck0Wevphe9j9ZLt52vYahckmxj53IphGK8w65gatdj
EnyN0mLWxQmN6Dbaai0IjgGmHoWF/KOqRnOFPE+fqUEzzLHdIohytYum9j/7IZ/fwzQVlj6oeTPX
V41Jp3Oeavo8qZr7LIzWlNFmHfA+PUDmM9SKOZUD3kfuKzJjTjrJUv+LS29ZX+LNm9nwbkatWXoe
mbMirQdwm44x60L+Lia8mClJpC+TrDnLMpvWYpf7XgHaVCBCEgB9VZrguA6D4zJwgrWE8nFqgOeb
6Sp1Z6ca1GkiaTWY1XzpatkpKOtjCrfWGlEV+sMqOJXD7GsRFsGiiKk9N0E56yGYmh0flNIdOfgY
1KIin6tqNc2NThCooWd7zbpK85tGapdZlZ74WbbQzd6hJhhUIOFaZ66bRA5mjM7IltsvguBWtSrI
0H7ZBTkBTAp+NjWFUIdvNVjnGT0D4NzaKzuKF7V8WHASbE9cKVgMsoNQMD1TjPRcbVFhGeMZlFdn
1g7tUoVePmmaEnGFP87UEUmTGWL0IyWBCy8PYm6Bdj9LuSglunyKYC2hPIt6PJHbH37UR7M+0RB9
CQm3FlXf+5Dm3cymza1vkAgV4VR4ZC6V1Fj7ClrD0dWTcqKi75/YgC2XNPJ7hJ6gXKmndgtHsglJ
wAZ4vV8fZnB0Fkmr3zUGveKNH91lWvsFE4dbcEbAMyt0EZ7WnQ9NSNNCAEpoqM2aZJraoo9tUrU8
AmxUH7H2CFM5YpSgLwoVW6h6baSo3hdag/LuBhNhgb7USwAKOk1c1H5TXJ6svhzndgOgdG6nkg7x
r0VyvNJx80RAqRljcApReWiuHDlR6qvOKSXtqOkbCgJGGvtfylFX27OozleZByI0D2k3yAQ2NBAA
0QIPKwWiaCXQonXUH+oA/xalwI7aknlkWH0wMzjJoEYzbwss4OheMPE5hlsaSfjj+S1YCwXw0KEm
8KZRakOgE8jTwci+5a6+8cNSndU2URjKuB+1AKVqfkbXg4CnygKjWtZojQfIqkNezfrAIS0Ic1VP
ywvJbY4SO/vWBt2PkYaCrhfcVAWMiJcb8bTS+kN68Q25o1PfyjdBhDVn4KLAVbG40gT+ta7RX6rh
qQsXVgqHr7Gv/hgVgLGVZ/yI2uQT7gwzaTxUBVVWN+BjgJmNsPibyL4Mn2HWx0exb53IUYygEjQt
Va21/8CqFdTaIoC0yMN4aloRsl3D8eYykFvYO+qsA6dJ10hzQgGUFpteAETDfGWlBX0f4DOWmg45
F4UlTA1YuiM6LWAg0nUdzUbD+6wK6q6NBnHmS2jI7MjpeHPOpA6YXm1EKDT2sT3TOkipnaD5Jn3e
zbGeO87tmtDabpFVKdZZ0KUnTWzhOopPtQOSpEqqldfUG9Pphjldh1eDQAhj5xFj6ccGYoTNjduA
rGy69HNGc18oRXxGWMSI7lCJCzxxVI+AigWyuIRdDCr6hgV6wfHwOEr8mjZObUWG9AZWwVIKwB+j
cF0XnXbe2vmlY2TfAwFKViz5VJchfgiEcpvq7tIdlXJqwFf2pJYtQSCXVQMLSB8Ks2MMAiNDAG+r
xbIygm4a6BWq5OacSGSRqvWnNlFWoLh8atIqD2Cj9/NIoJ85JNHzGLmkxjx+aglEtBkhjpQkZQnL
0l5DJnOmmCicybmAqsKYblKcxQvTObSgT6Mil8HOsAkKMLUUjN6S5tKjOHXMKfArj86lNIYVpp6b
Am0tVeh46lRO1qMK+BpBBaeMBxi2pSENCc79JqRPLUMonNIExCLHAgdlcUxUpoRhn6uYAaBD0RJk
Pv1tmnmfqcucVal1i8rqtjflBQitL1kEtNvLzVlN26mb5F/kzF5xZLnq6BJCrwM9hTSGHPtHKiBw
D9uFxlLvnQgfB0DhYMIKMJHyVSoY4qlkLFjr/cfk3H9SYaJw8YewO0uzZFvYzV/9DLtVcFuoP2hW
Nzj4K+SaXoTd0BTwQQNxrT8E0D/bV+wDm5YWCFnIJuHZvWxfoY9enPPhSYsUmWz+lR82u8Wr/IEt
DutCO0kWA0KiTRfL67A7SnME7HIon0GxoPdX5IPozqIhuAybeavDwpOFs7rk4rEeKs4nt245hRPt
zQzD+l4n8ZUlnNlpkpk1dY1XO6bt6M7XFSbukXBzL4Wve1AAIDFByUaa8g1iqresVIzgk6JYFy1o
ujE402ppndB2X2F1rZRYyNOSVUzbgRXIquxVCr96BB5oYZpad2Y2zaTxPBKW9CiNL1Wt/srqKuGK
kl4MkaQgIQY9Kwzt3RZr+wKPew91N8RSMjTf4LVjGGKEl1WJMKYsgK4mxlEiF/E8HNPlkGXqiZzr
Z+C1EZEq2JvQ5tmmzZFduXe50x0FqvlNJbS80PuiBYrngoFiRfBU6SuA4zn9e8qmHIiau8jm2Fx+
ClT5zuM0MaHNvZiacXzTWxKRBo4gWeysQBqfDLHnzxW+gytHJ8GYb6oQ0XXrwhfuhhrVrFoAwDJc
0OnE2qWd3IA1OEO69w3qjcDSqse9XSxrPcomDuARtInKwq48iCvGWaSi/zS6cdV0ClKCkV4T01k0
nXHStf5Sru12WtnhBawV8iJpf2xX43FX2eiQ3PxL4BvaFEZjSHwWfSqqwcLfoP5ijN1RR3M4OJ7k
R2aXJ6qiecd+5J06vu4jSTJpb2iQ3dXqqnJp/KwK71qNy7Wc+/isWLVz2JlNPsdA6i71rCvPHZa4
0PbzJEsOh0x9aDa97/X8aIQCaYb1Z/5tlWYk6fTWtjlo0eDih/U555b42OmTa/M4UyIM/ixWVI6x
M0xnfba06keiFKvQKpcmwIAp6W1vwS+eKE0xzzMk+HLUtugHqyulLZfY5n3VB2XpePTT57bBoc5y
pjUM4FmaJhdN6A+LoooWek1JGK7CfPBpOwChYgP2L8lIxoitEyF/GrSl6mVHkaEvYoeezAiWhB51
h6GPdMsvKa3g5EL75VE9GtT57cAabsmzlJ99KvSYYTkQ1UwMVC/VnDKrB/omkS7k3CkukYeyzit9
sKg1eQEFDOa66v6IvP7eJeONwpozsFxYh1baf6rM8nsdQe3Ms+wC5MBS8qMLJY/XMLGMKSf8Wd7j
yqVZ7Qz39XJho45DF6zz5cCpWRauAH24QgOog+UFnurE1jgN2woLnSCZ1Vm/0Mxh05uwxPr+m+0i
iHWGG240yaBQWg+BdJwW/tKPpHVK75UZKVMvjOlbcVcAjxeRjbdub+PYpY+HWl5/VooSvBUCWBUZ
YwvcmiMf8tagiIhcVWBN1rLjnJDkCTfkU42T+tA3C/pvyeg160DCZyJKLToNwHEHzpckFFm70gev
hU87hxtQgInZTLDRXTnAPji33Vb0wso1HRW9hdcqbAstH07Qj67xNgQgrcrE9l3HvaW1SmpWTVXe
NmV7Fvb2rAr1azD2hKZDeTxGUO50I53rEbNQ5hRf9IpD1li+Mhr3nsYQns4WPCi2ZNOK7g3FI2yS
ChqcteTclccWGl5Ah49hT2yM7n29Oems9AhXFAKICIduz0aULZDk9qqBIlEO8tKxmnOOI59lNV+7
OsrPFlRHFMasf30qodzOLjXU/tNgLM902cMlOlzhoTzJg/bUNcdrwn2aa+oLV20Oy6KF60XXbe8M
M/LqC9Ms55qkrDkStLMKT2BWYW3hGPURoNWFDTB26gDoKnL5O/InWorU5psW2PG0o6VxTavfuZIO
k9zzLpTRPnbsoZ2OIwdFc+wOZTOaEsn6U5qXsJeUAmeteUaDn3J/rsXSggrEuerYP3Dp5UCYzyqO
W1VpSxxp8LLrcKMa6vy8tuybXjiBJIaBCUJiOPM+VOMvETbn9Pe1P8KqAX4of4qbdB3W2bHvVO0E
ztRlM6rkDcofGMfMm0bJT/2eUmc43kSKity/jT6xAs+r1LgoJZdORdn5Kpnl577oj7rEJ7fUJNZU
y+1prRB8RfDcehC+NDzrdc0yrg+AyB0IKIpbDPoKW9/oUxtLXSQaNZWFNNbd1O7teSwHa7IyuFt0
yTjrM/9OR+s5G9oMz4RS2TjjeKaU9AoSLniYhCgLjorhxNWKH1YNTsSp0QwEFsvl0KczP8OYIFTP
s0S9JBfWTVp4+LRr3lIOm9F/f2hJw1ll4kmlsn6VNFPRLZ3e9IP0Ke+z6ziAPw9afJbHAeV/kA5t
hI8WzSE0hoNoiZuwuShJYswN8nQrPZUhn7ht0k8TRWv9f6FWUEWi+VV5w0LAaEFYhEsKwNl6U0HD
hFDRB0dzzpSrZPLFWLTnxZRWpamzub6sTuCtzTMKHcGxsaTXcpUt/EPDW4Un/vIhrvtPgCtUyb8P
cL9y7nufVRZ/8zO8BRMFSdYm4QZsliPci/AWTBRFT1LKIKQIfUnoPhd67QNaGnQaMLipCplf4uXn
Qq9NllojG42glBywgIn/RVYZGsW758eWTZ2AlVK0Sor7TVYZAkOYxmpIi2PtshTa9cxyy+taxUAv
VAecXnAyvw5aJT5T6yS5qhqXRmlZYYkfXWWqNOgvwUPVk0LXTkU/+byOedQHK7zXgCROa1U2j+ig
+O40XX6dDSwXmJf0547n5VNiMGvqNG52rVftSSk35ClSMmGYP54lXoHkpku9S3aAdNnQQTX3Wqyy
K0W5SWifXsUs8xjF4ylvNGtM3q69okGKoQPypH8uOIuDPpnCiaG72cRapLM/paMa3BR6l5346pAu
6tFpppJwmlMYgjOkRu6il2tnxXovlilELTQcJqsux2Q39jRo/OlI54MHRAtIAoz0kANjkxw3BZRs
h8iWmvqkzvAizrCtMPz8UG70eWR58lz12sOolGBK2p8YzZMswzxdrimDZibxVRr534xWJ0bAXYZ+
qs9eEX0Wh+l57nsAR7zgqtbZGln0cV1JFWtqet4qGqkgS2Zyr3m4IfSpeWiC85jUuL5MsAaluUMy
vIXvdgB1jfErNxourplfZZJ7qoMVt8dgpUHF5Jtod+5QnZNGbY9JvoEgqZHYFzRKkBCAEeqOp0bG
La3zflYM3XmUaN9Vrfw8dtGt5NJhl/m4vsf9mdnhTGblwgTEAz4hdeqabjR0701fkUd2zqik1FM1
Eas9wWifEKUihZsYiv8198YLXdfJW1vkDvpRAqES0RAFbmlq2kVkn2mDHGrfxWI4rK26iuaW7x1J
gHGTaUnybgbmloDXMu4lws+gsel8lQZ2UmqPNAAZJ3IbH7bQOMi/08WrJsqxZhkhTCpyd66sUAk2
7GA5GBGQMxpQKmlUL0vDaKetXaLw96LbQgUQhaHsMA9INc7xr17IMjuTGY0MMrKBNYJYdGoGMVzH
BJ/SIbfSvPwyTtOeJ1tf97ZTAUpP5OvUp+vQ1SH0ZCkFG4O2TcsxMRdzMQnR5RQih3s/4M8V4DK2
jgzjuqxdTGPTegrrZ2pZzqleQfDodINgr2vkiRWba8ku9TOrhq1L0bue5koAnLfUr9ooy6ZubRzL
kMSmTjrQ+S0ZhyWM+0NlyI4KPVbWRRZwl2oU4dqXSnHPpM5bgErvF3oXUGQqAzbTpIStA8nLG/yZ
XcTf/dhY2FnOVGea5IJEptJ3mYMm6y0YZZFk2TO2SuXMFwQzV7DMwqDwDlOdFGlju6dtgUdJ6Jic
B5xxEqctzzmlZ07K/cWgYJcDGAiswDDS/S44anJR65ihZfpy8Fwoa4K3lhfpkScIbINgsVHlGOHV
KtJSF6S2rMgvTMkpFyMQN7gyX3Ip0c7VkJ4zVj9qHAH2aT7wN0nDMUjQ4EywcIUVej8qQHGOzzS+
sIDH0XhCShEIPEi5/+yfEKmoWrLh/GH/bL5vSQ+Jv3mxf7J9kv0h/WIqmii9/kwPKWioTJnWYnJE
NqCTX/unw0/YbKEfqvyKJZJKv/ZPNmIKvfxIwYAb+edf7J9A4d/tnxatuya1WTRbdDqL/fWF+CCu
S/rhs14+q8PsCwUxY2lGmnSkAjrA+0nJYQWiheAk4pz2EZCGLKNHra70wzIzKEql1Ap4+ozjshwb
ynwRJIHOXLZdcxXbfX5SjtI0b2Ud2sOtAiSJI18H2LBxZ6PZrR3XXgRWLs8A+CybCqpQ6gzJ1Or0
my4tV3rgp9eoX5qpl+e3WCwfZU1+Uyp6PtVpYpuYXnEbD040yyqso4quW/V530Mszvz0QtYwYAx1
zAk188ilhDavO9mdJp1E/wpgc4DlBfS9emM13q2b2FCDhxQ76CEv1tSSkkmRSZd1bMfnDhCWSWLi
O0u3LOfDwbJmboCNmSdRkkvd4RwHDAjjjnZXBeYFFPJTuw4gnPjRl0DVruvMyWdSqN7nkdHP3dG7
Kdt0HjDrG2piE4KBFceIO9bhlO5KH8QARV8ZtwcoyknqHYWjc62ElJsMAe8uVfk6t0J1MnITaj+v
p7GLmRSkws3QVMBerOoLPh2ciOkmJB1NAU2Xz+1YV2CVBBeBAwxJSuiOPhwGmCFDmv+QS3Z6Mz1l
Pz1qh8xba2F1SU2vnPS48kzGEocmy4wnoRnTK5jHMwv/PIHgIuWQOqqFmyM+5dHKzspkHqSVfeao
+bCMwZ9NWhOWfFo4aJDLe7Vo5YkzWt6F1ADMGgPj1qFycVoM6o8YiKE5wcVFnvmh6pzGPoxHkvcR
3HC6nulAixZpnOaHXpSd+UmJb2Jsn3V4dk5N06GSNOCWGOkadaXssCnV0xyEBIj0kfRVgP5HaTIO
agZdmz3OU63SfDNz/1MURc20bOifVv0U3Rho6go3dlbxMMNGEJZoQLbSzb4nnrtsQJ8eYoN4odj5
D93nTOn3ywYA2DRFNTaV61Jbm3Gxzs3ksK8Nmk+1s0GJzjA4F067pDTkLPwsd+6NkUjVqo7w//Ul
66asPQAVinrs5ujcJBvcR1EkIY418mUy1Icym1cRhZdB4M3NJv4K6+U72NIM/hbaiAGTMruMmlkp
iryZnOL9xuAaunTYxhpSWhmhVeMMEeZb1rFcKLdosLRZVQ+fc40251ahE6gatQnO0PAhYDFE7iiT
JJRPu7j77jPWc1PL3WlqBsUkU/MvWpqfOETCpp0tQpxpEHW5t7UMd70E4C3FXQE8jN06ChvgDlEx
HRzIIelg3NUiH1kg70js8LhwS3Ua5Am8TKRb+CN/s8PiiKD6RonGTwqgET4fwZtuTJzOOSn7NJ7x
gWfe2HZ0wUd0VPbY+ozyZeVo34bayc8wo4mh5En9oRQN0jpLOizHcO5po+KKBsd7P48ubTM1pnmC
RSA5PbdauxZXGUvfWCWWPocv1MxCTYrXSaJehDK+ljauQ/TXV/BNMyua0vdCUcqOcXD0rDMSCGR8
OiwNXD+mcd7rL0JUHxPXkG+Rrjz1k/w/OKc+fUQhF54/0LwumvtyuLyvaOuunrcg8dPzDMTQdfa/
+6U/X+hJp3w95OiUN3dJkM6Cqi6D25q9E9kydsq/bJRl/u3Vzv3wwR4+9R+vE2+4TnPHO2gomRUA
YhxgYc/xYvOOM9yEHn8sKUiuqN2wa6pUXXivF2P0u1H48xd8HM4//84fP/zbQXhX3/r7QbAPBB0c
RbUlP7zIALweBBULMIMIwn6Ulf8fD8LLBwF4M5HTXz8EfMFfz4B1QCaDHQSXs4cXd/rV10fujgAB
oTkZkofXnj4J8lvR/98/Cc4BNCFgwfC/H15MsFdDgVm5TJ3CJHLd10F4G83/9SAgmLSEElslG/bw
IrX1ehB0RknXLFPkw/ZyTRDw3r+eE+Je/5oUJPFE0o/Wh7ffXj5gbOgLwXxKvPZzXRTL+c5jYB3Q
3YKWlpPa9gdBPVAhO/Ig7Otz8DY1/NeTQTD/xTyAtPk4Bu82SPWAmBhhhMJP9nIyiN6gHSeDw3dU
4dCh/Xh4vRsEzvn0bdD09Lj6/B9vkDyOb6MEodXeeRAcEhVksZ8G4d2yKB846F1AOOzt3rD7INAU
x/djf/xNvEisQBONhXBmL0KlLU+CYMvv+CTYB3QhMBtIXj28xM7xKmgG6muLOELf1+mg8vDuOAiE
SpiWUNF8CpXeBc0KKydx0v6uCaLXccdBsA8g+ZusCY/rothz3z4J7BtkMYV5Aa/9DBa4g4+b12Ov
3M8j7l+dJM0Duu5pnVOelse3QyFWBhwzDVsQBBj2Pdwjdj8/6DhSkLq2NdLQ4vV2UiictRyd3qXH
PXn/xkDYHe04J0gpCEsOYPxvJwOhEgl1SzP2NV4U5PLdvj3G36IKotPo/fbb82xQHkFP/3Ss2tNZ
oOx+diJdAq/S0BFGbJ8FxoHBSmHQKPfw831dFZXdFwTzgE5Azkg6eZqH15unQuRW+BmR9eNmtH8r
gvI4WXfbGmwZfwMUNL8ZBBFQOaYJMWBPJ4XQlO+4MCgHuiNzOlDMx0F4tz7IB0DCCJeUx/fawydh
973BOsCCG7wxJeGH17uDpIr7Hp33lkhE72WQ8HR3dpkOxgHsKJFyf1z9RFD4KmhkTRA5B47ce7sm
7J5X4TuyP1gyebSH17szlHqAC6NCT8m+nqGeophdngR2Bw1cDPKJx0HY8iQgDrYJmfd1TdAe784u
g4DBmy2jHbGf4qK3Bwdy7jp2bIb9ZEK3hwvjzoNA2KiTU0Eu+vggvDs4qKQURDMVS+OeLoyYEO24
RYpiJGIhAmT9cRTenp4YBH4oA3J4zDnsbdy4e2JBP5ANlebo57jx7Uap2AdYKlGiYAkVr30diqeF
a7f1wcE2ClnpbxZJngqeGQUqyL4ukkISt1v0CDzMEmkk2/xd3pVajUFJChfMPV0fnuojuzwJ5gFp
V7IHxI/PD/2rwIknQTYpxlCn3tNBeKqY7jII1gG9BY7JIvibEJqtxEY8qSDlF699fR4EKHnHSWHx
TWHI0/Xz8E23BdKOqVsw8uTHsdrTp+Kdu+7flykfhgKBK4aBDy92oNdTg1KtSqORo+/t8/D4wXaZ
GpQpxfJogex9eHHF14MAghEimIYeeV+fhN2TLfjXW9TocFj+zZMgEhHifxxBxWtvn4fd40liJAqR
P1dKcddfPQ8ctJkUNkLzfd0vBPp4x0XSOIA7ZlKJ45D1dL9fDYI4WZCIQOG3r4Og7p5tMHFZfSSv
Pg7Cu5MFAgYEfnQi7GtpQtQTdnwSmA5oHHVyzb8ZBPYIjphgW/Z1EN61qvz9Rin2CIXSA5P+4fUu
74TglZyTzbOwp3vE0zzdZaOEzUIJkvPE05Fqy3QgWU/5Rn3cQ/Z1ZdAf79EOQ0HiBakKDodgnrc/
D8BvbIq6rKF7+jxou2cbSMuTlNdV8mwPry3Pg+pQxHKc/U68COL6joukdgDSG6bRU27+/ZmC85do
WlP2toQvDLx3HARTsJtEY8BvqpZ0BeA7LlPn3ttJsXvM8CD6xxNVZG9eRUyIOBRWDFQeT8OzpwuD
vvsJWxepd1GO+72oB3quJujwjzvFng6FsFrYbU6wUSBXMMnK/mYoKFMg+GNGiHoOr309Vz0lAHbY
MzWWQDLPVO5+l4JSDkTRCu3fvkq99N3P2SQjLW63/FzPf7tKiFYRDpfU9vZ1jXy6Ozs8CaJVBMc8
YqNnAeSbpZJBMJELG6Rl93RleNrBdhgEWgSE9h2DzKdS9ru0E08CRiFQZPb2Sdg9zWBRn4TqaJi/
q+cjB5ZFyQocjliK96+Ka+wcPArxH6INQumn3fBtwonpIM7X7Jb7uju8M875+xM23WHUaDX5dx0z
IuuG0bxsPomO9/BJ2D14pE8Cw1xxs9+uiCyZFmVbtKD//jz4N4boZ4Py1A/iu4fWZBDn2zqYf/cL
zz2573/+opvmod/01W+KVuXHN3/suRH//V+vO5cfJvuLnz5P/od3evr7p6/4/s1fvdnz93r+x1Vw
X27KW0AED63RTx/00eXpv2PMnu42b3uBRIXg+d+2t1n/DBT/fPU8SO+fL/SiJ5tI89dXfd/D/e9d
PNncZeXzhV5cnGdm54tPgNhu++CERDtfe7qJNy23pHq+1ovPTgSw+/WzuKne3VKSEhQLPuDiaV1u
/plmW41IxEze+S1m9/E/p1m5dfwJDna+/jz+Z5aVPDzP13ox/mxGO19/Ud5X6baLs6nvfPFlfJ+m
z9d58cE/YrqumuR7Ft/V7y8vNP87f/R1kt+XwSZ+vtSvTy/k9LtfPh22DLpQZu986aP7csuYC5Xr
7pcOUm/LQiBU9Ttf+3gTbVnDRGvRB1y6qu63jclHTNDjrPrnv1PvPr7fNjIfMUVPNncswM/j8OJB
/IgperIpg21D8xFTVFw7z7at7kIqsvNtPblP77LbYNvqJdgmH3D98vb+7vlCv8ZdSH52v3jGZ3++
zotrf8Q0PcECYMulP2KWcun6vrwftlz+I2bq6Sbf8qCLQs3OA356327ex474hHzEFD0rNywBz5/y
xe38iCl6Hm9u77fEjqJsuPOwnMdNsi24E+31O1/8MiB0rIK7LSMjCjs7X/9qc1tyJEjrLY+79hGz
9GqT/jO5T4Otb/ARU/XxDcp0U95tXci0j5i04k1mwb23bZQ+YtaK6y+YAbdBdbvtPT5i+or3OMw2
RbNttxIF0w94mNJ/jpug+ufse1Dl277HR0xm8T1ONvX9tut/xHzm+ngjTzbl9822mEFUkD5ipHiP
abz9HT5mYotvAcRwfP64v9ZUkenf/Sv8yZzyIfOwQybhihzG1sH/kMkcVFEwZM3zILwYmA+Zy1m8
2RY9iEz37qP+J2+inUe93gB7jjfNljhc/5CpK9IsW/ZhgePZeWiu7/3NNtsmUefc/eLE+HAGn6/0
65ERGfLdr96wEmzZ4kU73QdcnARRsi0vJxpRdr78n43jd30k/2BVsPOlf09x/vOlt6VlfxZv3idr
n+mO2/7sdS5a/MZtfL8p/+t/AAAA//8=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17971</xdr:rowOff>
    </xdr:from>
    <xdr:to>
      <xdr:col>2</xdr:col>
      <xdr:colOff>19050</xdr:colOff>
      <xdr:row>45</xdr:row>
      <xdr:rowOff>13416</xdr:rowOff>
    </xdr:to>
    <xdr:sp macro="" textlink="">
      <xdr:nvSpPr>
        <xdr:cNvPr id="2" name="Rectangle 1">
          <a:extLst>
            <a:ext uri="{FF2B5EF4-FFF2-40B4-BE49-F238E27FC236}">
              <a16:creationId xmlns:a16="http://schemas.microsoft.com/office/drawing/2014/main" id="{984EE606-3EE2-C066-701D-1462F8A02B69}"/>
            </a:ext>
          </a:extLst>
        </xdr:cNvPr>
        <xdr:cNvSpPr/>
      </xdr:nvSpPr>
      <xdr:spPr>
        <a:xfrm>
          <a:off x="0" y="339943"/>
          <a:ext cx="1628909" cy="9346043"/>
        </a:xfrm>
        <a:prstGeom prst="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35943</xdr:colOff>
      <xdr:row>4</xdr:row>
      <xdr:rowOff>17972</xdr:rowOff>
    </xdr:from>
    <xdr:to>
      <xdr:col>29</xdr:col>
      <xdr:colOff>40247</xdr:colOff>
      <xdr:row>45</xdr:row>
      <xdr:rowOff>26831</xdr:rowOff>
    </xdr:to>
    <xdr:sp macro="" textlink="">
      <xdr:nvSpPr>
        <xdr:cNvPr id="3" name="Rectangle 2">
          <a:extLst>
            <a:ext uri="{FF2B5EF4-FFF2-40B4-BE49-F238E27FC236}">
              <a16:creationId xmlns:a16="http://schemas.microsoft.com/office/drawing/2014/main" id="{49392ECA-A270-45E6-A1BA-5A49ABBB5F22}"/>
            </a:ext>
          </a:extLst>
        </xdr:cNvPr>
        <xdr:cNvSpPr/>
      </xdr:nvSpPr>
      <xdr:spPr>
        <a:xfrm>
          <a:off x="1645802" y="339944"/>
          <a:ext cx="16304128" cy="9359457"/>
        </a:xfrm>
        <a:prstGeom prst="rect">
          <a:avLst/>
        </a:prstGeom>
        <a:solidFill>
          <a:srgbClr val="FF66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180</xdr:rowOff>
    </xdr:from>
    <xdr:to>
      <xdr:col>1</xdr:col>
      <xdr:colOff>733425</xdr:colOff>
      <xdr:row>10</xdr:row>
      <xdr:rowOff>19229</xdr:rowOff>
    </xdr:to>
    <xdr:sp macro="" textlink="Sheet1!H4">
      <xdr:nvSpPr>
        <xdr:cNvPr id="4" name="TextBox 3">
          <a:extLst>
            <a:ext uri="{FF2B5EF4-FFF2-40B4-BE49-F238E27FC236}">
              <a16:creationId xmlns:a16="http://schemas.microsoft.com/office/drawing/2014/main" id="{B18BB725-D2A2-AF0C-BE3C-AA726EFA245E}"/>
            </a:ext>
          </a:extLst>
        </xdr:cNvPr>
        <xdr:cNvSpPr txBox="1"/>
      </xdr:nvSpPr>
      <xdr:spPr>
        <a:xfrm>
          <a:off x="0" y="1401972"/>
          <a:ext cx="1614038" cy="953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7A46E8-D517-4900-ACD2-E83752F218D2}" type="TxLink">
            <a:rPr lang="en-US"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rPr>
            <a:pPr algn="ctr"/>
            <a:t>1,079</a:t>
          </a:fld>
          <a:endParaRPr lang="en-IN" sz="1800" b="1">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0</xdr:col>
      <xdr:colOff>0</xdr:colOff>
      <xdr:row>21</xdr:row>
      <xdr:rowOff>225779</xdr:rowOff>
    </xdr:from>
    <xdr:to>
      <xdr:col>1</xdr:col>
      <xdr:colOff>666750</xdr:colOff>
      <xdr:row>26</xdr:row>
      <xdr:rowOff>12810</xdr:rowOff>
    </xdr:to>
    <xdr:sp macro="" textlink="Sheet1!L4">
      <xdr:nvSpPr>
        <xdr:cNvPr id="5" name="TextBox 4">
          <a:extLst>
            <a:ext uri="{FF2B5EF4-FFF2-40B4-BE49-F238E27FC236}">
              <a16:creationId xmlns:a16="http://schemas.microsoft.com/office/drawing/2014/main" id="{9E8C94CA-36E4-48D9-876F-A27EA6DF970C}"/>
            </a:ext>
          </a:extLst>
        </xdr:cNvPr>
        <xdr:cNvSpPr txBox="1"/>
      </xdr:nvSpPr>
      <xdr:spPr>
        <a:xfrm>
          <a:off x="0" y="4487606"/>
          <a:ext cx="1545981" cy="94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BD9AED-5849-44AA-85D3-22362111DA73}" type="TxLink">
            <a:rPr lang="en-US"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ea typeface="+mn-ea"/>
              <a:cs typeface="+mn-cs"/>
            </a:rPr>
            <a:pPr marL="0" indent="0" algn="ctr"/>
            <a:t>2.3</a:t>
          </a:fld>
          <a:endParaRPr lang="en-IN"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41413</xdr:colOff>
      <xdr:row>17</xdr:row>
      <xdr:rowOff>53278</xdr:rowOff>
    </xdr:from>
    <xdr:to>
      <xdr:col>2</xdr:col>
      <xdr:colOff>43208</xdr:colOff>
      <xdr:row>21</xdr:row>
      <xdr:rowOff>73369</xdr:rowOff>
    </xdr:to>
    <xdr:sp macro="" textlink="Sheet1!K4">
      <xdr:nvSpPr>
        <xdr:cNvPr id="6" name="TextBox 5">
          <a:extLst>
            <a:ext uri="{FF2B5EF4-FFF2-40B4-BE49-F238E27FC236}">
              <a16:creationId xmlns:a16="http://schemas.microsoft.com/office/drawing/2014/main" id="{0B66CD18-898A-44B8-A9DD-BDBDD108BDF2}"/>
            </a:ext>
          </a:extLst>
        </xdr:cNvPr>
        <xdr:cNvSpPr txBox="1"/>
      </xdr:nvSpPr>
      <xdr:spPr>
        <a:xfrm>
          <a:off x="41413" y="3407735"/>
          <a:ext cx="1603099" cy="958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43C005-1D7E-4DB3-917C-C4B5D70C5EA2}" type="TxLink">
            <a:rPr lang="en-US"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ea typeface="+mn-ea"/>
              <a:cs typeface="+mn-cs"/>
            </a:rPr>
            <a:pPr marL="0" indent="0" algn="ctr"/>
            <a:t>3.9</a:t>
          </a:fld>
          <a:endParaRPr lang="en-IN"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0</xdr:colOff>
      <xdr:row>9</xdr:row>
      <xdr:rowOff>150097</xdr:rowOff>
    </xdr:from>
    <xdr:to>
      <xdr:col>2</xdr:col>
      <xdr:colOff>1795</xdr:colOff>
      <xdr:row>13</xdr:row>
      <xdr:rowOff>169148</xdr:rowOff>
    </xdr:to>
    <xdr:sp macro="" textlink="Sheet1!I4">
      <xdr:nvSpPr>
        <xdr:cNvPr id="7" name="TextBox 6">
          <a:extLst>
            <a:ext uri="{FF2B5EF4-FFF2-40B4-BE49-F238E27FC236}">
              <a16:creationId xmlns:a16="http://schemas.microsoft.com/office/drawing/2014/main" id="{D6E02E62-630C-4033-9BF9-A8F7D5BA3A02}"/>
            </a:ext>
          </a:extLst>
        </xdr:cNvPr>
        <xdr:cNvSpPr txBox="1"/>
      </xdr:nvSpPr>
      <xdr:spPr>
        <a:xfrm>
          <a:off x="0" y="1627162"/>
          <a:ext cx="1603099" cy="957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E126A8-4337-481B-ACD0-9D734B2F1263}" type="TxLink">
            <a:rPr lang="en-US"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ea typeface="+mn-ea"/>
              <a:cs typeface="+mn-cs"/>
            </a:rPr>
            <a:pPr marL="0" indent="0" algn="ctr"/>
            <a:t>5,469</a:t>
          </a:fld>
          <a:endParaRPr lang="en-IN"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0</xdr:colOff>
      <xdr:row>13</xdr:row>
      <xdr:rowOff>138338</xdr:rowOff>
    </xdr:from>
    <xdr:to>
      <xdr:col>2</xdr:col>
      <xdr:colOff>1795</xdr:colOff>
      <xdr:row>17</xdr:row>
      <xdr:rowOff>157388</xdr:rowOff>
    </xdr:to>
    <xdr:sp macro="" textlink="Sheet1!J4">
      <xdr:nvSpPr>
        <xdr:cNvPr id="8" name="TextBox 7">
          <a:extLst>
            <a:ext uri="{FF2B5EF4-FFF2-40B4-BE49-F238E27FC236}">
              <a16:creationId xmlns:a16="http://schemas.microsoft.com/office/drawing/2014/main" id="{64F623F4-B2CC-46A4-B940-164F491805DF}"/>
            </a:ext>
          </a:extLst>
        </xdr:cNvPr>
        <xdr:cNvSpPr txBox="1"/>
      </xdr:nvSpPr>
      <xdr:spPr>
        <a:xfrm>
          <a:off x="0" y="2554099"/>
          <a:ext cx="1603099" cy="957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F01E2E-5B12-43E2-97D5-858ACDA94FC7}" type="TxLink">
            <a:rPr lang="en-US"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ea typeface="+mn-ea"/>
              <a:cs typeface="+mn-cs"/>
            </a:rPr>
            <a:pPr marL="0" indent="0" algn="ctr"/>
            <a:t>$301.1k</a:t>
          </a:fld>
          <a:endParaRPr lang="en-IN" sz="1800" b="1" i="0" u="none" strike="noStrike">
            <a:gradFill>
              <a:gsLst>
                <a:gs pos="0">
                  <a:schemeClr val="bg1">
                    <a:lumMod val="85000"/>
                  </a:schemeClr>
                </a:gs>
                <a:gs pos="96000">
                  <a:schemeClr val="accent1">
                    <a:lumMod val="45000"/>
                    <a:lumOff val="5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49748</xdr:colOff>
      <xdr:row>5</xdr:row>
      <xdr:rowOff>178355</xdr:rowOff>
    </xdr:from>
    <xdr:to>
      <xdr:col>1</xdr:col>
      <xdr:colOff>325240</xdr:colOff>
      <xdr:row>7</xdr:row>
      <xdr:rowOff>101112</xdr:rowOff>
    </xdr:to>
    <xdr:sp macro="" textlink="">
      <xdr:nvSpPr>
        <xdr:cNvPr id="9" name="TextBox 8">
          <a:extLst>
            <a:ext uri="{FF2B5EF4-FFF2-40B4-BE49-F238E27FC236}">
              <a16:creationId xmlns:a16="http://schemas.microsoft.com/office/drawing/2014/main" id="{E27072FA-E79A-2D02-4386-7052C5257D63}"/>
            </a:ext>
          </a:extLst>
        </xdr:cNvPr>
        <xdr:cNvSpPr txBox="1"/>
      </xdr:nvSpPr>
      <xdr:spPr>
        <a:xfrm>
          <a:off x="49748" y="716725"/>
          <a:ext cx="1145166" cy="392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cap="none" spc="0">
              <a:ln>
                <a:noFill/>
              </a:ln>
              <a:solidFill>
                <a:schemeClr val="bg1"/>
              </a:solidFill>
              <a:effectLst>
                <a:outerShdw blurRad="50800" dist="38100" algn="l" rotWithShape="0">
                  <a:prstClr val="black">
                    <a:alpha val="40000"/>
                  </a:prstClr>
                </a:outerShdw>
              </a:effectLst>
            </a:rPr>
            <a:t>🛒  </a:t>
          </a:r>
          <a:r>
            <a:rPr lang="en-IN" sz="1600" b="1" cap="none" spc="0">
              <a:ln>
                <a:noFill/>
              </a:ln>
              <a:solidFill>
                <a:schemeClr val="bg1"/>
              </a:solidFill>
              <a:effectLst>
                <a:outerShdw blurRad="50800" dist="38100" algn="l" rotWithShape="0">
                  <a:prstClr val="black">
                    <a:alpha val="40000"/>
                  </a:prstClr>
                </a:outerShdw>
              </a:effectLst>
            </a:rPr>
            <a:t>Orders</a:t>
          </a:r>
        </a:p>
      </xdr:txBody>
    </xdr:sp>
    <xdr:clientData/>
  </xdr:twoCellAnchor>
  <xdr:twoCellAnchor>
    <xdr:from>
      <xdr:col>0</xdr:col>
      <xdr:colOff>0</xdr:colOff>
      <xdr:row>9</xdr:row>
      <xdr:rowOff>90037</xdr:rowOff>
    </xdr:from>
    <xdr:to>
      <xdr:col>1</xdr:col>
      <xdr:colOff>619125</xdr:colOff>
      <xdr:row>11</xdr:row>
      <xdr:rowOff>90037</xdr:rowOff>
    </xdr:to>
    <xdr:sp macro="" textlink="">
      <xdr:nvSpPr>
        <xdr:cNvPr id="14" name="TextBox 13">
          <a:extLst>
            <a:ext uri="{FF2B5EF4-FFF2-40B4-BE49-F238E27FC236}">
              <a16:creationId xmlns:a16="http://schemas.microsoft.com/office/drawing/2014/main" id="{3C49923F-8820-7877-DF68-4572DF119349}"/>
            </a:ext>
          </a:extLst>
        </xdr:cNvPr>
        <xdr:cNvSpPr txBox="1"/>
      </xdr:nvSpPr>
      <xdr:spPr>
        <a:xfrm>
          <a:off x="0" y="1567102"/>
          <a:ext cx="1488799" cy="469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a:t>
          </a:r>
          <a:r>
            <a:rPr lang="en-US" sz="1600" b="1">
              <a:solidFill>
                <a:schemeClr val="bg1"/>
              </a:solidFill>
            </a:rPr>
            <a:t>Quantity</a:t>
          </a:r>
          <a:endParaRPr lang="en-IN" sz="1600" b="1">
            <a:solidFill>
              <a:schemeClr val="bg1"/>
            </a:solidFill>
          </a:endParaRPr>
        </a:p>
      </xdr:txBody>
    </xdr:sp>
    <xdr:clientData/>
  </xdr:twoCellAnchor>
  <xdr:oneCellAnchor>
    <xdr:from>
      <xdr:col>0</xdr:col>
      <xdr:colOff>20053</xdr:colOff>
      <xdr:row>12</xdr:row>
      <xdr:rowOff>227857</xdr:rowOff>
    </xdr:from>
    <xdr:ext cx="1194730" cy="371577"/>
    <xdr:sp macro="" textlink="">
      <xdr:nvSpPr>
        <xdr:cNvPr id="20" name="TextBox 19">
          <a:extLst>
            <a:ext uri="{FF2B5EF4-FFF2-40B4-BE49-F238E27FC236}">
              <a16:creationId xmlns:a16="http://schemas.microsoft.com/office/drawing/2014/main" id="{4835C115-ACB8-42F9-8E53-C3E02EB61F33}"/>
            </a:ext>
          </a:extLst>
        </xdr:cNvPr>
        <xdr:cNvSpPr txBox="1"/>
      </xdr:nvSpPr>
      <xdr:spPr>
        <a:xfrm>
          <a:off x="20053" y="2408944"/>
          <a:ext cx="1194730" cy="3715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bg1"/>
              </a:solidFill>
            </a:rPr>
            <a:t>👜 </a:t>
          </a:r>
          <a:r>
            <a:rPr lang="en-US" sz="1600" b="1">
              <a:solidFill>
                <a:schemeClr val="bg1"/>
              </a:solidFill>
            </a:rPr>
            <a:t>Amount</a:t>
          </a:r>
          <a:endParaRPr lang="en-IN" sz="1600" b="1">
            <a:solidFill>
              <a:schemeClr val="bg1"/>
            </a:solidFill>
          </a:endParaRPr>
        </a:p>
      </xdr:txBody>
    </xdr:sp>
    <xdr:clientData/>
  </xdr:oneCellAnchor>
  <xdr:twoCellAnchor>
    <xdr:from>
      <xdr:col>0</xdr:col>
      <xdr:colOff>0</xdr:colOff>
      <xdr:row>16</xdr:row>
      <xdr:rowOff>229498</xdr:rowOff>
    </xdr:from>
    <xdr:to>
      <xdr:col>1</xdr:col>
      <xdr:colOff>657225</xdr:colOff>
      <xdr:row>19</xdr:row>
      <xdr:rowOff>14916</xdr:rowOff>
    </xdr:to>
    <xdr:sp macro="" textlink="">
      <xdr:nvSpPr>
        <xdr:cNvPr id="22" name="TextBox 21">
          <a:extLst>
            <a:ext uri="{FF2B5EF4-FFF2-40B4-BE49-F238E27FC236}">
              <a16:creationId xmlns:a16="http://schemas.microsoft.com/office/drawing/2014/main" id="{57675048-E4D6-85CA-3D90-8CD7F3C47358}"/>
            </a:ext>
          </a:extLst>
        </xdr:cNvPr>
        <xdr:cNvSpPr txBox="1"/>
      </xdr:nvSpPr>
      <xdr:spPr>
        <a:xfrm>
          <a:off x="0" y="3349281"/>
          <a:ext cx="1526899" cy="48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 </a:t>
          </a:r>
          <a:r>
            <a:rPr lang="en-IN" sz="1600" b="1">
              <a:solidFill>
                <a:schemeClr val="bg1"/>
              </a:solidFill>
            </a:rPr>
            <a:t>Avg.Rating</a:t>
          </a:r>
        </a:p>
      </xdr:txBody>
    </xdr:sp>
    <xdr:clientData/>
  </xdr:twoCellAnchor>
  <xdr:twoCellAnchor>
    <xdr:from>
      <xdr:col>0</xdr:col>
      <xdr:colOff>0</xdr:colOff>
      <xdr:row>20</xdr:row>
      <xdr:rowOff>210834</xdr:rowOff>
    </xdr:from>
    <xdr:to>
      <xdr:col>1</xdr:col>
      <xdr:colOff>662609</xdr:colOff>
      <xdr:row>23</xdr:row>
      <xdr:rowOff>231489</xdr:rowOff>
    </xdr:to>
    <xdr:sp macro="" textlink="">
      <xdr:nvSpPr>
        <xdr:cNvPr id="23" name="TextBox 22">
          <a:extLst>
            <a:ext uri="{FF2B5EF4-FFF2-40B4-BE49-F238E27FC236}">
              <a16:creationId xmlns:a16="http://schemas.microsoft.com/office/drawing/2014/main" id="{2EA32EC6-3063-4DB9-E3F0-B5BD534888CB}"/>
            </a:ext>
          </a:extLst>
        </xdr:cNvPr>
        <xdr:cNvSpPr txBox="1"/>
      </xdr:nvSpPr>
      <xdr:spPr>
        <a:xfrm>
          <a:off x="0" y="4240642"/>
          <a:ext cx="1541840" cy="716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a:t>
          </a:r>
          <a:r>
            <a:rPr lang="en-IN" sz="1400" b="1">
              <a:solidFill>
                <a:schemeClr val="bg1"/>
              </a:solidFill>
            </a:rPr>
            <a:t>Days </a:t>
          </a:r>
          <a:r>
            <a:rPr lang="en-IN" sz="1400" b="1" baseline="0">
              <a:solidFill>
                <a:schemeClr val="bg1"/>
              </a:solidFill>
            </a:rPr>
            <a:t>to Deliver</a:t>
          </a:r>
          <a:endParaRPr lang="en-IN" sz="1400" b="1">
            <a:solidFill>
              <a:schemeClr val="bg1"/>
            </a:solidFill>
          </a:endParaRPr>
        </a:p>
      </xdr:txBody>
    </xdr:sp>
    <xdr:clientData/>
  </xdr:twoCellAnchor>
  <xdr:twoCellAnchor>
    <xdr:from>
      <xdr:col>2</xdr:col>
      <xdr:colOff>23817</xdr:colOff>
      <xdr:row>4</xdr:row>
      <xdr:rowOff>17665</xdr:rowOff>
    </xdr:from>
    <xdr:to>
      <xdr:col>10</xdr:col>
      <xdr:colOff>369041</xdr:colOff>
      <xdr:row>20</xdr:row>
      <xdr:rowOff>114774</xdr:rowOff>
    </xdr:to>
    <xdr:graphicFrame macro="">
      <xdr:nvGraphicFramePr>
        <xdr:cNvPr id="24" name="Chart 23">
          <a:extLst>
            <a:ext uri="{FF2B5EF4-FFF2-40B4-BE49-F238E27FC236}">
              <a16:creationId xmlns:a16="http://schemas.microsoft.com/office/drawing/2014/main" id="{ECDCBE26-8666-4C13-B5DD-5008AA1F6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366348</xdr:colOff>
      <xdr:row>4</xdr:row>
      <xdr:rowOff>12212</xdr:rowOff>
    </xdr:from>
    <xdr:to>
      <xdr:col>20</xdr:col>
      <xdr:colOff>341924</xdr:colOff>
      <xdr:row>20</xdr:row>
      <xdr:rowOff>97692</xdr:rowOff>
    </xdr:to>
    <xdr:sp macro="" textlink="">
      <xdr:nvSpPr>
        <xdr:cNvPr id="41" name="Rectangle 40">
          <a:extLst>
            <a:ext uri="{FF2B5EF4-FFF2-40B4-BE49-F238E27FC236}">
              <a16:creationId xmlns:a16="http://schemas.microsoft.com/office/drawing/2014/main" id="{EBF184B9-8901-B065-938D-DCEF9830053C}"/>
            </a:ext>
          </a:extLst>
        </xdr:cNvPr>
        <xdr:cNvSpPr/>
      </xdr:nvSpPr>
      <xdr:spPr>
        <a:xfrm>
          <a:off x="6862886" y="329712"/>
          <a:ext cx="6081346" cy="37977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585448</xdr:colOff>
          <xdr:row>4</xdr:row>
          <xdr:rowOff>219597</xdr:rowOff>
        </xdr:from>
        <xdr:to>
          <xdr:col>19</xdr:col>
          <xdr:colOff>248122</xdr:colOff>
          <xdr:row>20</xdr:row>
          <xdr:rowOff>61058</xdr:rowOff>
        </xdr:to>
        <xdr:pic>
          <xdr:nvPicPr>
            <xdr:cNvPr id="36" name="Picture 35">
              <a:extLst>
                <a:ext uri="{FF2B5EF4-FFF2-40B4-BE49-F238E27FC236}">
                  <a16:creationId xmlns:a16="http://schemas.microsoft.com/office/drawing/2014/main" id="{F56D635E-9DEE-AF15-7925-DB6D1743F5E8}"/>
                </a:ext>
              </a:extLst>
            </xdr:cNvPr>
            <xdr:cNvPicPr>
              <a:picLocks noChangeAspect="1" noChangeArrowheads="1"/>
              <a:extLst>
                <a:ext uri="{84589F7E-364E-4C9E-8A38-B11213B215E9}">
                  <a14:cameraTool cellRange="Sheet3!$H$4:$L$9" spid="_x0000_s6208"/>
                </a:ext>
              </a:extLst>
            </xdr:cNvPicPr>
          </xdr:nvPicPr>
          <xdr:blipFill>
            <a:blip xmlns:r="http://schemas.openxmlformats.org/officeDocument/2006/relationships" r:embed="rId2"/>
            <a:srcRect/>
            <a:stretch>
              <a:fillRect/>
            </a:stretch>
          </xdr:blipFill>
          <xdr:spPr bwMode="auto">
            <a:xfrm>
              <a:off x="7692563" y="537097"/>
              <a:ext cx="4547290" cy="35537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22318</xdr:colOff>
      <xdr:row>20</xdr:row>
      <xdr:rowOff>81334</xdr:rowOff>
    </xdr:from>
    <xdr:to>
      <xdr:col>10</xdr:col>
      <xdr:colOff>366347</xdr:colOff>
      <xdr:row>45</xdr:row>
      <xdr:rowOff>0</xdr:rowOff>
    </xdr:to>
    <xdr:graphicFrame macro="">
      <xdr:nvGraphicFramePr>
        <xdr:cNvPr id="10" name="Chart 9">
          <a:extLst>
            <a:ext uri="{FF2B5EF4-FFF2-40B4-BE49-F238E27FC236}">
              <a16:creationId xmlns:a16="http://schemas.microsoft.com/office/drawing/2014/main" id="{13ACA122-8BCE-43D9-887A-765CF8634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321971</xdr:colOff>
      <xdr:row>4</xdr:row>
      <xdr:rowOff>13801</xdr:rowOff>
    </xdr:from>
    <xdr:to>
      <xdr:col>29</xdr:col>
      <xdr:colOff>68855</xdr:colOff>
      <xdr:row>20</xdr:row>
      <xdr:rowOff>97692</xdr:rowOff>
    </xdr:to>
    <xdr:graphicFrame macro="">
      <xdr:nvGraphicFramePr>
        <xdr:cNvPr id="12" name="Chart 11">
          <a:extLst>
            <a:ext uri="{FF2B5EF4-FFF2-40B4-BE49-F238E27FC236}">
              <a16:creationId xmlns:a16="http://schemas.microsoft.com/office/drawing/2014/main" id="{798AFED2-AC57-4502-8597-2C349A2E9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389051</xdr:colOff>
      <xdr:row>20</xdr:row>
      <xdr:rowOff>94384</xdr:rowOff>
    </xdr:from>
    <xdr:to>
      <xdr:col>29</xdr:col>
      <xdr:colOff>91807</xdr:colOff>
      <xdr:row>45</xdr:row>
      <xdr:rowOff>18675</xdr:rowOff>
    </xdr:to>
    <xdr:graphicFrame macro="">
      <xdr:nvGraphicFramePr>
        <xdr:cNvPr id="19" name="Chart 18">
          <a:extLst>
            <a:ext uri="{FF2B5EF4-FFF2-40B4-BE49-F238E27FC236}">
              <a16:creationId xmlns:a16="http://schemas.microsoft.com/office/drawing/2014/main" id="{31415389-6750-4F9C-9103-C96AEBF0E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363396</xdr:colOff>
      <xdr:row>20</xdr:row>
      <xdr:rowOff>82056</xdr:rowOff>
    </xdr:from>
    <xdr:to>
      <xdr:col>19</xdr:col>
      <xdr:colOff>402465</xdr:colOff>
      <xdr:row>31</xdr:row>
      <xdr:rowOff>214648</xdr:rowOff>
    </xdr:to>
    <xdr:graphicFrame macro="">
      <xdr:nvGraphicFramePr>
        <xdr:cNvPr id="21" name="Chart 20">
          <a:extLst>
            <a:ext uri="{FF2B5EF4-FFF2-40B4-BE49-F238E27FC236}">
              <a16:creationId xmlns:a16="http://schemas.microsoft.com/office/drawing/2014/main" id="{4A05D7DC-755B-4C6C-96F6-5A1DE275B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112027</xdr:colOff>
      <xdr:row>26</xdr:row>
      <xdr:rowOff>149713</xdr:rowOff>
    </xdr:from>
    <xdr:to>
      <xdr:col>1</xdr:col>
      <xdr:colOff>660081</xdr:colOff>
      <xdr:row>34</xdr:row>
      <xdr:rowOff>192803</xdr:rowOff>
    </xdr:to>
    <mc:AlternateContent xmlns:mc="http://schemas.openxmlformats.org/markup-compatibility/2006">
      <mc:Choice xmlns:a14="http://schemas.microsoft.com/office/drawing/2010/main" Requires="a14">
        <xdr:graphicFrame macro="">
          <xdr:nvGraphicFramePr>
            <xdr:cNvPr id="27" name="Order Mode 1">
              <a:extLst>
                <a:ext uri="{FF2B5EF4-FFF2-40B4-BE49-F238E27FC236}">
                  <a16:creationId xmlns:a16="http://schemas.microsoft.com/office/drawing/2014/main" id="{7267DFE1-EA1D-4286-A84F-B8BA36FFFEC7}"/>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112027" y="6715159"/>
              <a:ext cx="1421179" cy="1857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107232</xdr:colOff>
      <xdr:row>36</xdr:row>
      <xdr:rowOff>93318</xdr:rowOff>
    </xdr:from>
    <xdr:to>
      <xdr:col>1</xdr:col>
      <xdr:colOff>645761</xdr:colOff>
      <xdr:row>43</xdr:row>
      <xdr:rowOff>146538</xdr:rowOff>
    </xdr:to>
    <mc:AlternateContent xmlns:mc="http://schemas.openxmlformats.org/markup-compatibility/2006">
      <mc:Choice xmlns:a14="http://schemas.microsoft.com/office/drawing/2010/main" Requires="a14">
        <xdr:graphicFrame macro="">
          <xdr:nvGraphicFramePr>
            <xdr:cNvPr id="28" name="Gender ">
              <a:extLst>
                <a:ext uri="{FF2B5EF4-FFF2-40B4-BE49-F238E27FC236}">
                  <a16:creationId xmlns:a16="http://schemas.microsoft.com/office/drawing/2014/main" id="{C47408DD-68A2-4E5C-947E-D05C6392CC17}"/>
                </a:ext>
              </a:extLst>
            </xdr:cNvPr>
            <xdr:cNvGraphicFramePr/>
          </xdr:nvGraphicFramePr>
          <xdr:xfrm>
            <a:off x="0" y="0"/>
            <a:ext cx="0" cy="0"/>
          </xdr:xfrm>
          <a:graphic>
            <a:graphicData uri="http://schemas.microsoft.com/office/drawing/2010/slicer">
              <sle:slicer xmlns:sle="http://schemas.microsoft.com/office/drawing/2010/slicer" name="Gender "/>
            </a:graphicData>
          </a:graphic>
        </xdr:graphicFrame>
      </mc:Choice>
      <mc:Fallback>
        <xdr:sp macro="" textlink="">
          <xdr:nvSpPr>
            <xdr:cNvPr id="0" name=""/>
            <xdr:cNvSpPr>
              <a:spLocks noTextEdit="1"/>
            </xdr:cNvSpPr>
          </xdr:nvSpPr>
          <xdr:spPr>
            <a:xfrm>
              <a:off x="107232" y="8926622"/>
              <a:ext cx="1411654" cy="164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364359</xdr:colOff>
      <xdr:row>4</xdr:row>
      <xdr:rowOff>21748</xdr:rowOff>
    </xdr:from>
    <xdr:to>
      <xdr:col>16</xdr:col>
      <xdr:colOff>410821</xdr:colOff>
      <xdr:row>5</xdr:row>
      <xdr:rowOff>109904</xdr:rowOff>
    </xdr:to>
    <xdr:sp macro="" textlink="">
      <xdr:nvSpPr>
        <xdr:cNvPr id="11" name="TextBox 10">
          <a:extLst>
            <a:ext uri="{FF2B5EF4-FFF2-40B4-BE49-F238E27FC236}">
              <a16:creationId xmlns:a16="http://schemas.microsoft.com/office/drawing/2014/main" id="{E7C6C766-1511-F4CE-CB51-26586B8F635A}"/>
            </a:ext>
          </a:extLst>
        </xdr:cNvPr>
        <xdr:cNvSpPr txBox="1"/>
      </xdr:nvSpPr>
      <xdr:spPr>
        <a:xfrm>
          <a:off x="8692628" y="339248"/>
          <a:ext cx="1878193" cy="320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Customer Buying Method</a:t>
          </a:r>
        </a:p>
      </xdr:txBody>
    </xdr:sp>
    <xdr:clientData/>
  </xdr:twoCellAnchor>
  <xdr:twoCellAnchor>
    <xdr:from>
      <xdr:col>32</xdr:col>
      <xdr:colOff>0</xdr:colOff>
      <xdr:row>60</xdr:row>
      <xdr:rowOff>0</xdr:rowOff>
    </xdr:from>
    <xdr:to>
      <xdr:col>32</xdr:col>
      <xdr:colOff>571500</xdr:colOff>
      <xdr:row>61</xdr:row>
      <xdr:rowOff>200025</xdr:rowOff>
    </xdr:to>
    <xdr:sp macro="" textlink="">
      <xdr:nvSpPr>
        <xdr:cNvPr id="6194" name="Text Box 50">
          <a:extLst>
            <a:ext uri="{FF2B5EF4-FFF2-40B4-BE49-F238E27FC236}">
              <a16:creationId xmlns:a16="http://schemas.microsoft.com/office/drawing/2014/main" id="{4A485A1E-E29A-87EA-5780-32D578D6C6E3}"/>
            </a:ext>
          </a:extLst>
        </xdr:cNvPr>
        <xdr:cNvSpPr txBox="1">
          <a:spLocks noChangeArrowheads="1"/>
        </xdr:cNvSpPr>
      </xdr:nvSpPr>
      <xdr:spPr bwMode="auto">
        <a:xfrm>
          <a:off x="19897725" y="13115925"/>
          <a:ext cx="571500" cy="428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Aptos Narrow"/>
            </a:rPr>
            <a:t>Gender Split</a:t>
          </a:r>
        </a:p>
      </xdr:txBody>
    </xdr:sp>
    <xdr:clientData/>
  </xdr:twoCellAnchor>
  <xdr:twoCellAnchor>
    <xdr:from>
      <xdr:col>10</xdr:col>
      <xdr:colOff>348802</xdr:colOff>
      <xdr:row>31</xdr:row>
      <xdr:rowOff>214647</xdr:rowOff>
    </xdr:from>
    <xdr:to>
      <xdr:col>19</xdr:col>
      <xdr:colOff>413131</xdr:colOff>
      <xdr:row>45</xdr:row>
      <xdr:rowOff>18675</xdr:rowOff>
    </xdr:to>
    <xdr:graphicFrame macro="">
      <xdr:nvGraphicFramePr>
        <xdr:cNvPr id="13" name="Chart 12">
          <a:extLst>
            <a:ext uri="{FF2B5EF4-FFF2-40B4-BE49-F238E27FC236}">
              <a16:creationId xmlns:a16="http://schemas.microsoft.com/office/drawing/2014/main" id="{6F9A87A1-BC3B-40CA-BE67-C798A118F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182044</xdr:colOff>
      <xdr:row>10</xdr:row>
      <xdr:rowOff>96480</xdr:rowOff>
    </xdr:from>
    <xdr:to>
      <xdr:col>14</xdr:col>
      <xdr:colOff>486844</xdr:colOff>
      <xdr:row>24</xdr:row>
      <xdr:rowOff>174820</xdr:rowOff>
    </xdr:to>
    <xdr:graphicFrame macro="">
      <xdr:nvGraphicFramePr>
        <xdr:cNvPr id="2" name="Chart 1">
          <a:extLst>
            <a:ext uri="{FF2B5EF4-FFF2-40B4-BE49-F238E27FC236}">
              <a16:creationId xmlns:a16="http://schemas.microsoft.com/office/drawing/2014/main" id="{D6D08B53-B57D-7A3D-12BA-FC011F3E5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152400</xdr:colOff>
      <xdr:row>2</xdr:row>
      <xdr:rowOff>142874</xdr:rowOff>
    </xdr:from>
    <xdr:to>
      <xdr:col>14</xdr:col>
      <xdr:colOff>57150</xdr:colOff>
      <xdr:row>12</xdr:row>
      <xdr:rowOff>85725</xdr:rowOff>
    </xdr:to>
    <xdr:graphicFrame macro="">
      <xdr:nvGraphicFramePr>
        <xdr:cNvPr id="2" name="Chart 1">
          <a:extLst>
            <a:ext uri="{FF2B5EF4-FFF2-40B4-BE49-F238E27FC236}">
              <a16:creationId xmlns:a16="http://schemas.microsoft.com/office/drawing/2014/main" id="{49F07DF9-897C-5C6C-1171-8046AF28F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378104</xdr:colOff>
      <xdr:row>29</xdr:row>
      <xdr:rowOff>100263</xdr:rowOff>
    </xdr:from>
    <xdr:to>
      <xdr:col>17</xdr:col>
      <xdr:colOff>62664</xdr:colOff>
      <xdr:row>44</xdr:row>
      <xdr:rowOff>4091</xdr:rowOff>
    </xdr:to>
    <xdr:graphicFrame macro="">
      <xdr:nvGraphicFramePr>
        <xdr:cNvPr id="3" name="Chart 2">
          <a:extLst>
            <a:ext uri="{FF2B5EF4-FFF2-40B4-BE49-F238E27FC236}">
              <a16:creationId xmlns:a16="http://schemas.microsoft.com/office/drawing/2014/main" id="{439C4CA4-AFB0-2720-79CA-31D03EB21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1190625</xdr:colOff>
      <xdr:row>13</xdr:row>
      <xdr:rowOff>47625</xdr:rowOff>
    </xdr:from>
    <xdr:to>
      <xdr:col>7</xdr:col>
      <xdr:colOff>600075</xdr:colOff>
      <xdr:row>39</xdr:row>
      <xdr:rowOff>89584</xdr:rowOff>
    </xdr:to>
    <xdr:graphicFrame macro="">
      <xdr:nvGraphicFramePr>
        <xdr:cNvPr id="5" name="Chart 4">
          <a:extLst>
            <a:ext uri="{FF2B5EF4-FFF2-40B4-BE49-F238E27FC236}">
              <a16:creationId xmlns:a16="http://schemas.microsoft.com/office/drawing/2014/main" id="{241246DD-3394-47D6-AEAE-78ACEF842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xdr:colOff>
      <xdr:row>94</xdr:row>
      <xdr:rowOff>138111</xdr:rowOff>
    </xdr:from>
    <xdr:to>
      <xdr:col>10</xdr:col>
      <xdr:colOff>485775</xdr:colOff>
      <xdr:row>114</xdr:row>
      <xdr:rowOff>123824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D3AAFE8-A983-2722-4ACA-A0838415DF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10325" y="18045111"/>
              <a:ext cx="4572000" cy="37957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76200</xdr:colOff>
      <xdr:row>73</xdr:row>
      <xdr:rowOff>14287</xdr:rowOff>
    </xdr:from>
    <xdr:to>
      <xdr:col>18</xdr:col>
      <xdr:colOff>38100</xdr:colOff>
      <xdr:row>87</xdr:row>
      <xdr:rowOff>90487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667D2D8-5864-147A-030D-6A31DF6C13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240000" y="13920787"/>
              <a:ext cx="17907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xdr:colOff>
      <xdr:row>4</xdr:row>
      <xdr:rowOff>47625</xdr:rowOff>
    </xdr:from>
    <xdr:to>
      <xdr:col>11</xdr:col>
      <xdr:colOff>347662</xdr:colOff>
      <xdr:row>18</xdr:row>
      <xdr:rowOff>123825</xdr:rowOff>
    </xdr:to>
    <xdr:graphicFrame macro="">
      <xdr:nvGraphicFramePr>
        <xdr:cNvPr id="2" name="Chart 1">
          <a:extLst>
            <a:ext uri="{FF2B5EF4-FFF2-40B4-BE49-F238E27FC236}">
              <a16:creationId xmlns:a16="http://schemas.microsoft.com/office/drawing/2014/main" id="{DD7E8334-C677-AD81-59B9-66EADF70B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80962</xdr:colOff>
      <xdr:row>19</xdr:row>
      <xdr:rowOff>90487</xdr:rowOff>
    </xdr:from>
    <xdr:to>
      <xdr:col>19</xdr:col>
      <xdr:colOff>433387</xdr:colOff>
      <xdr:row>33</xdr:row>
      <xdr:rowOff>166687</xdr:rowOff>
    </xdr:to>
    <xdr:graphicFrame macro="">
      <xdr:nvGraphicFramePr>
        <xdr:cNvPr id="3" name="Chart 2">
          <a:extLst>
            <a:ext uri="{FF2B5EF4-FFF2-40B4-BE49-F238E27FC236}">
              <a16:creationId xmlns:a16="http://schemas.microsoft.com/office/drawing/2014/main" id="{8AB9F62C-C704-6796-15D3-A67DDB8E7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409575</xdr:colOff>
      <xdr:row>35</xdr:row>
      <xdr:rowOff>104775</xdr:rowOff>
    </xdr:from>
    <xdr:to>
      <xdr:col>15</xdr:col>
      <xdr:colOff>381000</xdr:colOff>
      <xdr:row>44</xdr:row>
      <xdr:rowOff>180975</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D90B4F6B-14AF-446E-0297-B78AF49B9B5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153400" y="6772275"/>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35</xdr:row>
      <xdr:rowOff>66675</xdr:rowOff>
    </xdr:from>
    <xdr:to>
      <xdr:col>18</xdr:col>
      <xdr:colOff>600075</xdr:colOff>
      <xdr:row>44</xdr:row>
      <xdr:rowOff>133350</xdr:rowOff>
    </xdr:to>
    <mc:AlternateContent xmlns:mc="http://schemas.openxmlformats.org/markup-compatibility/2006" xmlns:a14="http://schemas.microsoft.com/office/drawing/2010/main">
      <mc:Choice Requires="a14">
        <xdr:graphicFrame macro="">
          <xdr:nvGraphicFramePr>
            <xdr:cNvPr id="5" name="Gender Value">
              <a:extLst>
                <a:ext uri="{FF2B5EF4-FFF2-40B4-BE49-F238E27FC236}">
                  <a16:creationId xmlns:a16="http://schemas.microsoft.com/office/drawing/2014/main" id="{CDF5E2EF-40E0-05E4-6C17-7B31252C141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229850" y="6734175"/>
              <a:ext cx="1828800"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285750</xdr:colOff>
      <xdr:row>3</xdr:row>
      <xdr:rowOff>114300</xdr:rowOff>
    </xdr:from>
    <xdr:to>
      <xdr:col>10</xdr:col>
      <xdr:colOff>126881</xdr:colOff>
      <xdr:row>22</xdr:row>
      <xdr:rowOff>108831</xdr:rowOff>
    </xdr:to>
    <xdr:graphicFrame macro="">
      <xdr:nvGraphicFramePr>
        <xdr:cNvPr id="2" name="Chart 1">
          <a:extLst>
            <a:ext uri="{FF2B5EF4-FFF2-40B4-BE49-F238E27FC236}">
              <a16:creationId xmlns:a16="http://schemas.microsoft.com/office/drawing/2014/main" id="{760E26DD-F9D5-4061-A117-4839D26D8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247650</xdr:colOff>
      <xdr:row>24</xdr:row>
      <xdr:rowOff>66675</xdr:rowOff>
    </xdr:from>
    <xdr:to>
      <xdr:col>8</xdr:col>
      <xdr:colOff>240769</xdr:colOff>
      <xdr:row>55</xdr:row>
      <xdr:rowOff>38939</xdr:rowOff>
    </xdr:to>
    <xdr:graphicFrame macro="">
      <xdr:nvGraphicFramePr>
        <xdr:cNvPr id="3" name="Chart 2">
          <a:extLst>
            <a:ext uri="{FF2B5EF4-FFF2-40B4-BE49-F238E27FC236}">
              <a16:creationId xmlns:a16="http://schemas.microsoft.com/office/drawing/2014/main" id="{C46EEB6E-061E-47AC-90B5-647E793E3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27</xdr:row>
      <xdr:rowOff>0</xdr:rowOff>
    </xdr:from>
    <xdr:to>
      <xdr:col>19</xdr:col>
      <xdr:colOff>591568</xdr:colOff>
      <xdr:row>48</xdr:row>
      <xdr:rowOff>90682</xdr:rowOff>
    </xdr:to>
    <xdr:graphicFrame macro="">
      <xdr:nvGraphicFramePr>
        <xdr:cNvPr id="4" name="Chart 3">
          <a:extLst>
            <a:ext uri="{FF2B5EF4-FFF2-40B4-BE49-F238E27FC236}">
              <a16:creationId xmlns:a16="http://schemas.microsoft.com/office/drawing/2014/main" id="{61960D9D-0249-415B-84E6-524DC68F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30</xdr:row>
      <xdr:rowOff>0</xdr:rowOff>
    </xdr:from>
    <xdr:to>
      <xdr:col>30</xdr:col>
      <xdr:colOff>562708</xdr:colOff>
      <xdr:row>42</xdr:row>
      <xdr:rowOff>22231</xdr:rowOff>
    </xdr:to>
    <xdr:graphicFrame macro="">
      <xdr:nvGraphicFramePr>
        <xdr:cNvPr id="5" name="Chart 4">
          <a:extLst>
            <a:ext uri="{FF2B5EF4-FFF2-40B4-BE49-F238E27FC236}">
              <a16:creationId xmlns:a16="http://schemas.microsoft.com/office/drawing/2014/main" id="{59FC7980-8887-4F82-A169-F7C2CEE6E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171450</xdr:colOff>
      <xdr:row>3</xdr:row>
      <xdr:rowOff>133350</xdr:rowOff>
    </xdr:from>
    <xdr:to>
      <xdr:col>28</xdr:col>
      <xdr:colOff>210283</xdr:colOff>
      <xdr:row>19</xdr:row>
      <xdr:rowOff>28577</xdr:rowOff>
    </xdr:to>
    <xdr:graphicFrame macro="">
      <xdr:nvGraphicFramePr>
        <xdr:cNvPr id="6" name="Chart 5">
          <a:extLst>
            <a:ext uri="{FF2B5EF4-FFF2-40B4-BE49-F238E27FC236}">
              <a16:creationId xmlns:a16="http://schemas.microsoft.com/office/drawing/2014/main" id="{65FE465F-5FB4-4232-ACEA-1C738ACD1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Kanchamreddy" refreshedDate="45986.440518981479" createdVersion="8" refreshedVersion="8" minRefreshableVersion="3" recordCount="2400" xr:uid="{B044E05F-04D0-4C59-BA98-EAB5DD419771}">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526775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0E6C8B-3E3F-4E94-9B56-ED73580BD009}" name="Heat 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416A49-7340-48B5-BB2A-D0BC13ABCDDC}" name="TX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1" firstHeaderRow="1" firstDataRow="1" firstDataCol="1"/>
  <pivotFields count="18">
    <pivotField dataField="1" showAll="0"/>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x="4"/>
        <item h="1"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sd="0" x="0"/>
        <item sd="0" x="1"/>
        <item sd="0" x="2"/>
        <item sd="0" x="4"/>
        <item sd="0" x="3"/>
        <item sd="0" x="5"/>
        <item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5"/>
    <field x="2"/>
  </rowFields>
  <rowItems count="8">
    <i>
      <x/>
    </i>
    <i>
      <x v="1"/>
    </i>
    <i>
      <x v="2"/>
    </i>
    <i>
      <x v="3"/>
    </i>
    <i>
      <x v="4"/>
    </i>
    <i>
      <x v="5"/>
    </i>
    <i>
      <x v="6"/>
    </i>
    <i t="grand">
      <x/>
    </i>
  </rowItems>
  <colItems count="1">
    <i/>
  </colItems>
  <dataFields count="1">
    <dataField name="Count of TX ID" fld="0" subtotal="count" baseField="0" baseItem="0"/>
  </dataFields>
  <chartFormats count="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4EEDF2-A921-4B40-BD36-90DB0164BFDE}"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R4:S9"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6">
        <item h="1" x="0"/>
        <item x="3"/>
        <item x="4"/>
        <item h="1"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0">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4" count="1" selected="0">
            <x v="0"/>
          </reference>
        </references>
      </pivotArea>
    </chartFormat>
    <chartFormat chart="9" format="2">
      <pivotArea type="data" outline="0" fieldPosition="0">
        <references count="2">
          <reference field="4294967294" count="1" selected="0">
            <x v="0"/>
          </reference>
          <reference field="14" count="1" selected="0">
            <x v="1"/>
          </reference>
        </references>
      </pivotArea>
    </chartFormat>
    <chartFormat chart="9" format="3">
      <pivotArea type="data" outline="0" fieldPosition="0">
        <references count="2">
          <reference field="4294967294" count="1" selected="0">
            <x v="0"/>
          </reference>
          <reference field="14" count="1" selected="0">
            <x v="3"/>
          </reference>
        </references>
      </pivotArea>
    </chartFormat>
    <chartFormat chart="9" format="4">
      <pivotArea type="data" outline="0" fieldPosition="0">
        <references count="2">
          <reference field="4294967294" count="1" selected="0">
            <x v="0"/>
          </reference>
          <reference field="14" count="1" selected="0">
            <x v="2"/>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14" count="1" selected="0">
            <x v="0"/>
          </reference>
        </references>
      </pivotArea>
    </chartFormat>
    <chartFormat chart="33" format="12">
      <pivotArea type="data" outline="0" fieldPosition="0">
        <references count="2">
          <reference field="4294967294" count="1" selected="0">
            <x v="0"/>
          </reference>
          <reference field="14" count="1" selected="0">
            <x v="1"/>
          </reference>
        </references>
      </pivotArea>
    </chartFormat>
    <chartFormat chart="33" format="13">
      <pivotArea type="data" outline="0" fieldPosition="0">
        <references count="2">
          <reference field="4294967294" count="1" selected="0">
            <x v="0"/>
          </reference>
          <reference field="14" count="1" selected="0">
            <x v="2"/>
          </reference>
        </references>
      </pivotArea>
    </chartFormat>
    <chartFormat chart="33"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F8731-97DE-41A0-BAC7-1499D172DE94}" name="pvt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h="1" x="0"/>
        <item x="3"/>
        <item x="4"/>
        <item h="1"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16"/>
    </i>
    <i>
      <x v="1"/>
    </i>
    <i>
      <x v="12"/>
    </i>
    <i>
      <x v="14"/>
    </i>
    <i>
      <x v="4"/>
    </i>
    <i>
      <x v="11"/>
    </i>
    <i>
      <x v="5"/>
    </i>
    <i>
      <x v="10"/>
    </i>
    <i>
      <x v="2"/>
    </i>
    <i>
      <x v="9"/>
    </i>
    <i>
      <x v="8"/>
    </i>
    <i>
      <x v="3"/>
    </i>
    <i>
      <x v="19"/>
    </i>
    <i>
      <x v="17"/>
    </i>
    <i>
      <x v="15"/>
    </i>
    <i>
      <x/>
    </i>
    <i>
      <x v="7"/>
    </i>
    <i t="grand">
      <x/>
    </i>
  </rowItems>
  <colFields count="1">
    <field x="14"/>
  </colFields>
  <colItems count="5">
    <i>
      <x/>
    </i>
    <i>
      <x v="1"/>
    </i>
    <i>
      <x v="2"/>
    </i>
    <i>
      <x v="3"/>
    </i>
    <i t="grand">
      <x/>
    </i>
  </colItems>
  <dataFields count="1">
    <dataField name="Sum of Quantity" fld="2" baseField="0" baseItem="0"/>
  </dataFields>
  <chartFormats count="17">
    <chartFormat chart="0" format="4" series="1">
      <pivotArea type="data" outline="0" fieldPosition="0">
        <references count="1">
          <reference field="4294967294" count="1" selected="0">
            <x v="0"/>
          </reference>
        </references>
      </pivotArea>
    </chartFormat>
    <chartFormat chart="5" format="12" series="1">
      <pivotArea type="data" outline="0" fieldPosition="0">
        <references count="2">
          <reference field="4294967294" count="1" selected="0">
            <x v="0"/>
          </reference>
          <reference field="14" count="1" selected="0">
            <x v="1"/>
          </reference>
        </references>
      </pivotArea>
    </chartFormat>
    <chartFormat chart="5" format="13" series="1">
      <pivotArea type="data" outline="0" fieldPosition="0">
        <references count="2">
          <reference field="4294967294" count="1" selected="0">
            <x v="0"/>
          </reference>
          <reference field="14" count="1" selected="0">
            <x v="2"/>
          </reference>
        </references>
      </pivotArea>
    </chartFormat>
    <chartFormat chart="5" format="14"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 chart="0" format="6" series="1">
      <pivotArea type="data" outline="0" fieldPosition="0">
        <references count="2">
          <reference field="4294967294" count="1" selected="0">
            <x v="0"/>
          </reference>
          <reference field="14" count="1" selected="0">
            <x v="2"/>
          </reference>
        </references>
      </pivotArea>
    </chartFormat>
    <chartFormat chart="0" format="7" series="1">
      <pivotArea type="data" outline="0" fieldPosition="0">
        <references count="2">
          <reference field="4294967294" count="1" selected="0">
            <x v="0"/>
          </reference>
          <reference field="14" count="1" selected="0">
            <x v="3"/>
          </reference>
        </references>
      </pivotArea>
    </chartFormat>
    <chartFormat chart="5" format="15" series="1">
      <pivotArea type="data" outline="0" fieldPosition="0">
        <references count="2">
          <reference field="4294967294" count="1" selected="0">
            <x v="0"/>
          </reference>
          <reference field="14" count="1" selected="0">
            <x v="0"/>
          </reference>
        </references>
      </pivotArea>
    </chartFormat>
    <chartFormat chart="0" format="8" series="1">
      <pivotArea type="data" outline="0" fieldPosition="0">
        <references count="2">
          <reference field="4294967294" count="1" selected="0">
            <x v="0"/>
          </reference>
          <reference field="14" count="1" selected="0">
            <x v="0"/>
          </reference>
        </references>
      </pivotArea>
    </chartFormat>
    <chartFormat chart="11" format="20" series="1">
      <pivotArea type="data" outline="0" fieldPosition="0">
        <references count="2">
          <reference field="4294967294" count="1" selected="0">
            <x v="0"/>
          </reference>
          <reference field="14" count="1" selected="0">
            <x v="0"/>
          </reference>
        </references>
      </pivotArea>
    </chartFormat>
    <chartFormat chart="11" format="21" series="1">
      <pivotArea type="data" outline="0" fieldPosition="0">
        <references count="2">
          <reference field="4294967294" count="1" selected="0">
            <x v="0"/>
          </reference>
          <reference field="14" count="1" selected="0">
            <x v="1"/>
          </reference>
        </references>
      </pivotArea>
    </chartFormat>
    <chartFormat chart="11" format="22" series="1">
      <pivotArea type="data" outline="0" fieldPosition="0">
        <references count="2">
          <reference field="4294967294" count="1" selected="0">
            <x v="0"/>
          </reference>
          <reference field="14" count="1" selected="0">
            <x v="2"/>
          </reference>
        </references>
      </pivotArea>
    </chartFormat>
    <chartFormat chart="11" format="23" series="1">
      <pivotArea type="data" outline="0" fieldPosition="0">
        <references count="2">
          <reference field="4294967294" count="1" selected="0">
            <x v="0"/>
          </reference>
          <reference field="14" count="1" selected="0">
            <x v="3"/>
          </reference>
        </references>
      </pivotArea>
    </chartFormat>
    <chartFormat chart="14" format="20" series="1">
      <pivotArea type="data" outline="0" fieldPosition="0">
        <references count="2">
          <reference field="4294967294" count="1" selected="0">
            <x v="0"/>
          </reference>
          <reference field="14" count="1" selected="0">
            <x v="0"/>
          </reference>
        </references>
      </pivotArea>
    </chartFormat>
    <chartFormat chart="14" format="21" series="1">
      <pivotArea type="data" outline="0" fieldPosition="0">
        <references count="2">
          <reference field="4294967294" count="1" selected="0">
            <x v="0"/>
          </reference>
          <reference field="14" count="1" selected="0">
            <x v="1"/>
          </reference>
        </references>
      </pivotArea>
    </chartFormat>
    <chartFormat chart="14" format="22" series="1">
      <pivotArea type="data" outline="0" fieldPosition="0">
        <references count="2">
          <reference field="4294967294" count="1" selected="0">
            <x v="0"/>
          </reference>
          <reference field="14" count="1" selected="0">
            <x v="2"/>
          </reference>
        </references>
      </pivotArea>
    </chartFormat>
    <chartFormat chart="14" format="2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9E1664-A192-4274-AB04-0C65B05AC8C1}" name="pvt Location"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3:D54" firstHeaderRow="0" firstDataRow="1" firstDataCol="2"/>
  <pivotFields count="18">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numFmtId="15" outline="0" showAll="0" insertBlankRow="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items count="6">
        <item h="1" x="0"/>
        <item x="3"/>
        <item x="4"/>
        <item h="1" x="2"/>
        <item x="1"/>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axis="axisRow" compact="0" outline="0" showAll="0" insertBlankRow="1" sortType="descending">
      <items count="2">
        <item x="0"/>
        <item t="default"/>
      </items>
      <extLst>
        <ext xmlns:x14="http://schemas.microsoft.com/office/spreadsheetml/2009/9/main" uri="{2946ED86-A175-432a-8AC1-64E0C546D7DE}">
          <x14:pivotField fillDownLabels="1"/>
        </ext>
      </extLst>
    </pivotField>
    <pivotField axis="axisRow" compact="0" outline="0" showAll="0" insertBlankRow="1">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items count="5">
        <item x="2"/>
        <item x="1"/>
        <item x="3"/>
        <item x="0"/>
        <item t="default"/>
      </items>
      <extLst>
        <ext xmlns:x14="http://schemas.microsoft.com/office/spreadsheetml/2009/9/main" uri="{2946ED86-A175-432a-8AC1-64E0C546D7DE}">
          <x14:pivotField fillDownLabels="1"/>
        </ext>
      </extLst>
    </pivotField>
    <pivotField compact="0" outline="0" showAll="0" insertBlankRow="1"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nsertBlankRow="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nsertBlankRow="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51">
    <i>
      <x/>
      <x/>
    </i>
    <i r="1">
      <x v="2"/>
    </i>
    <i r="1">
      <x v="3"/>
    </i>
    <i r="1">
      <x v="5"/>
    </i>
    <i r="1">
      <x v="6"/>
    </i>
    <i r="1">
      <x v="8"/>
    </i>
    <i r="1">
      <x v="9"/>
    </i>
    <i r="1">
      <x v="10"/>
    </i>
    <i r="1">
      <x v="11"/>
    </i>
    <i r="1">
      <x v="12"/>
    </i>
    <i r="1">
      <x v="14"/>
    </i>
    <i r="1">
      <x v="15"/>
    </i>
    <i r="1">
      <x v="16"/>
    </i>
    <i r="1">
      <x v="18"/>
    </i>
    <i r="1">
      <x v="19"/>
    </i>
    <i r="1">
      <x v="20"/>
    </i>
    <i r="1">
      <x v="22"/>
    </i>
    <i r="1">
      <x v="23"/>
    </i>
    <i r="1">
      <x v="24"/>
    </i>
    <i r="1">
      <x v="25"/>
    </i>
    <i r="1">
      <x v="26"/>
    </i>
    <i r="1">
      <x v="27"/>
    </i>
    <i r="1">
      <x v="28"/>
    </i>
    <i r="1">
      <x v="29"/>
    </i>
    <i r="1">
      <x v="30"/>
    </i>
    <i r="1">
      <x v="32"/>
    </i>
    <i r="1">
      <x v="33"/>
    </i>
    <i r="1">
      <x v="34"/>
    </i>
    <i r="1">
      <x v="35"/>
    </i>
    <i r="1">
      <x v="36"/>
    </i>
    <i r="1">
      <x v="37"/>
    </i>
    <i r="1">
      <x v="38"/>
    </i>
    <i r="1">
      <x v="40"/>
    </i>
    <i r="1">
      <x v="41"/>
    </i>
    <i r="1">
      <x v="42"/>
    </i>
    <i r="1">
      <x v="43"/>
    </i>
    <i r="1">
      <x v="44"/>
    </i>
    <i r="1">
      <x v="45"/>
    </i>
    <i r="1">
      <x v="46"/>
    </i>
    <i r="1">
      <x v="47"/>
    </i>
    <i r="1">
      <x v="48"/>
    </i>
    <i r="1">
      <x v="49"/>
    </i>
    <i r="1">
      <x v="50"/>
    </i>
    <i r="1">
      <x v="51"/>
    </i>
    <i r="1">
      <x v="52"/>
    </i>
    <i r="1">
      <x v="53"/>
    </i>
    <i r="1">
      <x v="54"/>
    </i>
    <i r="1">
      <x v="55"/>
    </i>
    <i r="1">
      <x v="56"/>
    </i>
    <i t="default">
      <x/>
    </i>
    <i t="blank">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CA5523-7689-42B0-85A3-B6696B322AA9}" name="pvt Quantity &amp; Amou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x="4"/>
        <item h="1"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4">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563939-006A-43BC-BD81-02E52D7104B7}" name="pvt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x="4"/>
        <item h="1"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numFmtId="164"/>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2C01C4-D2B4-41C0-B491-89A511A1F20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9:L44"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h="1" x="0"/>
        <item x="3"/>
        <item x="4"/>
        <item h="1"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4">
    <i>
      <x v="1"/>
    </i>
    <i>
      <x v="2"/>
    </i>
    <i>
      <x v="4"/>
    </i>
    <i t="grand">
      <x/>
    </i>
  </rowItems>
  <colFields count="1">
    <field x="9"/>
  </colFields>
  <colItems count="6">
    <i>
      <x/>
    </i>
    <i>
      <x v="1"/>
    </i>
    <i>
      <x v="2"/>
    </i>
    <i>
      <x v="3"/>
    </i>
    <i>
      <x v="4"/>
    </i>
    <i t="grand">
      <x/>
    </i>
  </colItems>
  <dataFields count="1">
    <dataField name="Count of TX ID" fld="0"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0"/>
          </reference>
          <reference field="9" count="1" selected="0">
            <x v="2"/>
          </reference>
        </references>
      </pivotArea>
    </chartFormat>
    <chartFormat chart="4" format="13" series="1">
      <pivotArea type="data" outline="0" fieldPosition="0">
        <references count="2">
          <reference field="4294967294" count="1" selected="0">
            <x v="0"/>
          </reference>
          <reference field="9" count="1" selected="0">
            <x v="0"/>
          </reference>
        </references>
      </pivotArea>
    </chartFormat>
    <chartFormat chart="4" format="14" series="1">
      <pivotArea type="data" outline="0" fieldPosition="0">
        <references count="2">
          <reference field="4294967294" count="1" selected="0">
            <x v="0"/>
          </reference>
          <reference field="9" count="1" selected="0">
            <x v="1"/>
          </reference>
        </references>
      </pivotArea>
    </chartFormat>
    <chartFormat chart="4" format="15" series="1">
      <pivotArea type="data" outline="0" fieldPosition="0">
        <references count="2">
          <reference field="4294967294" count="1" selected="0">
            <x v="0"/>
          </reference>
          <reference field="9" count="1" selected="0">
            <x v="2"/>
          </reference>
        </references>
      </pivotArea>
    </chartFormat>
    <chartFormat chart="4" format="16" series="1">
      <pivotArea type="data" outline="0" fieldPosition="0">
        <references count="2">
          <reference field="4294967294" count="1" selected="0">
            <x v="0"/>
          </reference>
          <reference field="9" count="1" selected="0">
            <x v="3"/>
          </reference>
        </references>
      </pivotArea>
    </chartFormat>
    <chartFormat chart="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B94E48-940D-473C-AAE9-99C57FEB776B}" name="pvt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26:K31"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x="4"/>
        <item h="1"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7" count="1" selected="0">
            <x v="1"/>
          </reference>
        </references>
      </pivotArea>
    </chartFormat>
    <chartFormat chart="1" format="1" series="1">
      <pivotArea type="data" outline="0" fieldPosition="0">
        <references count="2">
          <reference field="4294967294" count="1" selected="0">
            <x v="0"/>
          </reference>
          <reference field="17" count="1" selected="0">
            <x v="2"/>
          </reference>
        </references>
      </pivotArea>
    </chartFormat>
    <chartFormat chart="1" format="2" series="1">
      <pivotArea type="data" outline="0" fieldPosition="0">
        <references count="2">
          <reference field="4294967294" count="1" selected="0">
            <x v="0"/>
          </reference>
          <reference field="17" count="1" selected="0">
            <x v="3"/>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0"/>
          </reference>
          <reference field="9" count="1" selected="0">
            <x v="2"/>
          </reference>
        </references>
      </pivotArea>
    </chartFormat>
    <chartFormat chart="4" format="13" series="1">
      <pivotArea type="data" outline="0" fieldPosition="0">
        <references count="2">
          <reference field="4294967294" count="1" selected="0">
            <x v="0"/>
          </reference>
          <reference field="9" count="1" selected="0">
            <x v="0"/>
          </reference>
        </references>
      </pivotArea>
    </chartFormat>
    <chartFormat chart="4" format="14" series="1">
      <pivotArea type="data" outline="0" fieldPosition="0">
        <references count="2">
          <reference field="4294967294" count="1" selected="0">
            <x v="0"/>
          </reference>
          <reference field="9" count="1" selected="0">
            <x v="1"/>
          </reference>
        </references>
      </pivotArea>
    </chartFormat>
    <chartFormat chart="4" format="15" series="1">
      <pivotArea type="data" outline="0" fieldPosition="0">
        <references count="2">
          <reference field="4294967294" count="1" selected="0">
            <x v="0"/>
          </reference>
          <reference field="9" count="1" selected="0">
            <x v="2"/>
          </reference>
        </references>
      </pivotArea>
    </chartFormat>
    <chartFormat chart="4" format="16" series="1">
      <pivotArea type="data" outline="0" fieldPosition="0">
        <references count="2">
          <reference field="4294967294" count="1" selected="0">
            <x v="0"/>
          </reference>
          <reference field="9" count="1" selected="0">
            <x v="3"/>
          </reference>
        </references>
      </pivotArea>
    </chartFormat>
    <chartFormat chart="4" format="17" series="1">
      <pivotArea type="data" outline="0" fieldPosition="0">
        <references count="2">
          <reference field="4294967294" count="1" selected="0">
            <x v="0"/>
          </reference>
          <reference field="9" count="1" selected="0">
            <x v="4"/>
          </reference>
        </references>
      </pivotArea>
    </chartFormat>
    <chartFormat chart="4" format="18">
      <pivotArea type="data" outline="0" fieldPosition="0">
        <references count="3">
          <reference field="4294967294" count="1" selected="0">
            <x v="0"/>
          </reference>
          <reference field="9" count="1" selected="0">
            <x v="3"/>
          </reference>
          <reference field="17" count="1" selected="0">
            <x v="2"/>
          </reference>
        </references>
      </pivotArea>
    </chartFormat>
    <chartFormat chart="4" format="19">
      <pivotArea type="data" outline="0" fieldPosition="0">
        <references count="3">
          <reference field="4294967294" count="1" selected="0">
            <x v="0"/>
          </reference>
          <reference field="9" count="1" selected="0">
            <x v="3"/>
          </reference>
          <reference field="17" count="1" selected="0">
            <x v="3"/>
          </reference>
        </references>
      </pivotArea>
    </chartFormat>
    <chartFormat chart="4" format="20">
      <pivotArea type="data" outline="0" fieldPosition="0">
        <references count="3">
          <reference field="4294967294" count="1" selected="0">
            <x v="0"/>
          </reference>
          <reference field="9" count="1" selected="0">
            <x v="3"/>
          </reference>
          <reference field="17" count="1" selected="0">
            <x v="1"/>
          </reference>
        </references>
      </pivotArea>
    </chartFormat>
    <chartFormat chart="8" format="29" series="1">
      <pivotArea type="data" outline="0" fieldPosition="0">
        <references count="2">
          <reference field="4294967294" count="1" selected="0">
            <x v="0"/>
          </reference>
          <reference field="9" count="1" selected="0">
            <x v="0"/>
          </reference>
        </references>
      </pivotArea>
    </chartFormat>
    <chartFormat chart="8" format="30" series="1">
      <pivotArea type="data" outline="0" fieldPosition="0">
        <references count="2">
          <reference field="4294967294" count="1" selected="0">
            <x v="0"/>
          </reference>
          <reference field="9" count="1" selected="0">
            <x v="1"/>
          </reference>
        </references>
      </pivotArea>
    </chartFormat>
    <chartFormat chart="8" format="31" series="1">
      <pivotArea type="data" outline="0" fieldPosition="0">
        <references count="2">
          <reference field="4294967294" count="1" selected="0">
            <x v="0"/>
          </reference>
          <reference field="9" count="1" selected="0">
            <x v="2"/>
          </reference>
        </references>
      </pivotArea>
    </chartFormat>
    <chartFormat chart="8" format="32" series="1">
      <pivotArea type="data" outline="0" fieldPosition="0">
        <references count="2">
          <reference field="4294967294" count="1" selected="0">
            <x v="0"/>
          </reference>
          <reference field="9" count="1" selected="0">
            <x v="3"/>
          </reference>
        </references>
      </pivotArea>
    </chartFormat>
    <chartFormat chart="8" format="33">
      <pivotArea type="data" outline="0" fieldPosition="0">
        <references count="3">
          <reference field="4294967294" count="1" selected="0">
            <x v="0"/>
          </reference>
          <reference field="9" count="1" selected="0">
            <x v="3"/>
          </reference>
          <reference field="17" count="1" selected="0">
            <x v="1"/>
          </reference>
        </references>
      </pivotArea>
    </chartFormat>
    <chartFormat chart="8" format="34">
      <pivotArea type="data" outline="0" fieldPosition="0">
        <references count="3">
          <reference field="4294967294" count="1" selected="0">
            <x v="0"/>
          </reference>
          <reference field="9" count="1" selected="0">
            <x v="3"/>
          </reference>
          <reference field="17" count="1" selected="0">
            <x v="2"/>
          </reference>
        </references>
      </pivotArea>
    </chartFormat>
    <chartFormat chart="8" format="35">
      <pivotArea type="data" outline="0" fieldPosition="0">
        <references count="3">
          <reference field="4294967294" count="1" selected="0">
            <x v="0"/>
          </reference>
          <reference field="9" count="1" selected="0">
            <x v="3"/>
          </reference>
          <reference field="17" count="1" selected="0">
            <x v="3"/>
          </reference>
        </references>
      </pivotArea>
    </chartFormat>
    <chartFormat chart="8" format="36"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379B66-1673-481F-A782-CD8310EDBF0F}" name="pvt TX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C9408C36-62A2-4E8A-AAEB-705A91649669}" sourceName="Order Mode">
  <pivotTables>
    <pivotTable tabId="12" name="PivotTable7"/>
    <pivotTable tabId="5" name="pvt Quantity &amp; Amount "/>
    <pivotTable tabId="5" name="pvt Summary"/>
    <pivotTable tabId="10" name="Gender"/>
    <pivotTable tabId="10" name="pvt Gender"/>
    <pivotTable tabId="8" name="TXId"/>
    <pivotTable tabId="11" name="pvt Location"/>
    <pivotTable tabId="12" name="pvt Rating"/>
    <pivotTable tabId="12" name="pvt TXID"/>
  </pivotTables>
  <data>
    <tabular pivotCacheId="526775443">
      <items count="5">
        <i x="0"/>
        <i x="3" s="1"/>
        <i x="4" s="1"/>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1E039C5-397E-4BC4-8899-35A38344CEC8}" sourceName="Gender Value">
  <pivotTables>
    <pivotTable tabId="12" name="PivotTable7"/>
    <pivotTable tabId="5" name="pvt Quantity &amp; Amount "/>
    <pivotTable tabId="5" name="pvt Summary"/>
    <pivotTable tabId="10" name="Gender"/>
    <pivotTable tabId="10" name="pvt Gender"/>
    <pivotTable tabId="8" name="TXId"/>
    <pivotTable tabId="11" name="pvt Location"/>
    <pivotTable tabId="12" name="pvt Rating"/>
    <pivotTable tabId="12" name="pvt TXID"/>
  </pivotTables>
  <data>
    <tabular pivotCacheId="52677544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E52551DF-19AD-4DF3-A148-2AD4D83B4C81}" cache="Slicer_Order_Mode" caption="Order Mode" style="SlicerStyleLight6" rowHeight="257175"/>
  <slicer name="Gender " xr10:uid="{8FBC2241-5A94-493F-B2EB-8984A6CEFC59}" cache="Slicer_Gender_Value" caption="Gender "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2E65948-DE57-46F7-AE16-3A11E063C56E}" cache="Slicer_Order_Mode" caption="Order Mode" rowHeight="257175"/>
  <slicer name="Gender Value" xr10:uid="{4A0EA410-E38B-4C1B-9A33-C48469466BD6}" cache="Slicer_Gender_Value" caption="Gender Valu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topLeftCell="A49" workbookViewId="0">
      <selection activeCell="M5" sqref="M5"/>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4.85546875" bestFit="1" customWidth="1"/>
    <col min="14" max="14" width="10.140625" bestFit="1"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03B5-93AC-4E0B-92E2-300905E1EFAB}">
  <dimension ref="A1:AC4"/>
  <sheetViews>
    <sheetView showGridLines="0" topLeftCell="A2" zoomScale="84" workbookViewId="0">
      <selection activeCell="R50" sqref="R50"/>
    </sheetView>
  </sheetViews>
  <sheetFormatPr defaultRowHeight="18" customHeight="1" x14ac:dyDescent="0.25"/>
  <cols>
    <col min="1" max="1" width="13.140625" customWidth="1"/>
    <col min="2" max="2" width="11" customWidth="1"/>
  </cols>
  <sheetData>
    <row r="1" spans="1:29" ht="42.75" customHeight="1" x14ac:dyDescent="0.25"/>
    <row r="2" spans="1:29" ht="25.5" customHeight="1" x14ac:dyDescent="0.25"/>
    <row r="3" spans="1:29" ht="33.75" customHeight="1" x14ac:dyDescent="0.45">
      <c r="A3" s="17"/>
      <c r="B3" s="17"/>
      <c r="C3" s="17"/>
      <c r="D3" s="18" t="s">
        <v>2542</v>
      </c>
      <c r="E3" s="17"/>
      <c r="F3" s="19"/>
      <c r="G3" s="20"/>
      <c r="H3" s="20"/>
      <c r="I3" s="20"/>
      <c r="J3" s="20"/>
      <c r="K3" s="20"/>
      <c r="L3" s="20"/>
      <c r="M3" s="20"/>
      <c r="N3" s="20"/>
      <c r="O3" s="20"/>
      <c r="P3" s="20"/>
      <c r="Q3" s="20"/>
      <c r="R3" s="20"/>
      <c r="S3" s="17"/>
      <c r="T3" s="17"/>
      <c r="U3" s="17"/>
      <c r="V3" s="17"/>
      <c r="W3" s="17"/>
      <c r="X3" s="17"/>
      <c r="Y3" s="17"/>
      <c r="Z3" s="17"/>
      <c r="AA3" s="17"/>
      <c r="AB3" s="17"/>
      <c r="AC3" s="17"/>
    </row>
    <row r="4" spans="1:29" ht="21" customHeight="1" x14ac:dyDescent="0.2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5" sqref="B15"/>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65139-A923-4A6B-A3C2-333FA2B3AE2B}">
  <dimension ref="A2:L10"/>
  <sheetViews>
    <sheetView showGridLines="0" workbookViewId="0">
      <selection activeCell="H4" sqref="H4:L9"/>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6" width="11.28515625" bestFit="1" customWidth="1"/>
    <col min="8" max="8" width="13.42578125" customWidth="1"/>
  </cols>
  <sheetData>
    <row r="2" spans="1:12" x14ac:dyDescent="0.25">
      <c r="H2" t="s">
        <v>2535</v>
      </c>
    </row>
    <row r="3" spans="1:12" x14ac:dyDescent="0.25">
      <c r="A3" s="6" t="s">
        <v>2520</v>
      </c>
      <c r="B3" s="6" t="s">
        <v>2525</v>
      </c>
    </row>
    <row r="4" spans="1:12" ht="24.75" customHeight="1" x14ac:dyDescent="0.25">
      <c r="A4" s="6" t="s">
        <v>2529</v>
      </c>
      <c r="B4" t="s">
        <v>2531</v>
      </c>
      <c r="C4" t="s">
        <v>2532</v>
      </c>
      <c r="D4" t="s">
        <v>2533</v>
      </c>
      <c r="E4" t="s">
        <v>2534</v>
      </c>
      <c r="F4" t="s">
        <v>2530</v>
      </c>
      <c r="I4" s="11" t="str">
        <f t="shared" ref="I4:L9" si="0">B4</f>
        <v>Female</v>
      </c>
      <c r="J4" s="11" t="str">
        <f t="shared" si="0"/>
        <v>Male</v>
      </c>
      <c r="K4" s="11" t="str">
        <f t="shared" si="0"/>
        <v>Other</v>
      </c>
      <c r="L4" s="11" t="str">
        <f t="shared" si="0"/>
        <v>Unknown</v>
      </c>
    </row>
    <row r="5" spans="1:12" ht="27" customHeight="1" x14ac:dyDescent="0.25">
      <c r="A5" s="7" t="s">
        <v>18</v>
      </c>
      <c r="B5" s="9">
        <v>0.18961825201634841</v>
      </c>
      <c r="C5" s="9">
        <v>0.12262322351336576</v>
      </c>
      <c r="D5" s="9">
        <v>1.060537752469185E-2</v>
      </c>
      <c r="E5" s="9">
        <v>3.0599220547662797E-2</v>
      </c>
      <c r="F5" s="9">
        <v>0.35344607360206881</v>
      </c>
      <c r="H5" t="str">
        <f>A5</f>
        <v>App</v>
      </c>
      <c r="I5" s="10">
        <f t="shared" si="0"/>
        <v>0.18961825201634841</v>
      </c>
      <c r="J5" s="10">
        <f t="shared" si="0"/>
        <v>0.12262322351336576</v>
      </c>
      <c r="K5" s="10">
        <f t="shared" si="0"/>
        <v>1.060537752469185E-2</v>
      </c>
      <c r="L5" s="10">
        <f t="shared" si="0"/>
        <v>3.0599220547662797E-2</v>
      </c>
    </row>
    <row r="6" spans="1:12" ht="27.75" customHeight="1" x14ac:dyDescent="0.25">
      <c r="A6" s="7" t="s">
        <v>51</v>
      </c>
      <c r="B6" s="9">
        <v>5.0283982091147303E-2</v>
      </c>
      <c r="C6" s="9">
        <v>4.3060781812819873E-2</v>
      </c>
      <c r="D6" s="9">
        <v>1.5320025675641944E-3</v>
      </c>
      <c r="E6" s="9">
        <v>1.7794988689097006E-2</v>
      </c>
      <c r="F6" s="9">
        <v>0.11267175516062837</v>
      </c>
      <c r="H6" t="str">
        <f>A6</f>
        <v>Instagram</v>
      </c>
      <c r="I6" s="10">
        <f t="shared" si="0"/>
        <v>5.0283982091147303E-2</v>
      </c>
      <c r="J6" s="10">
        <f t="shared" si="0"/>
        <v>4.3060781812819873E-2</v>
      </c>
      <c r="K6" s="10">
        <f t="shared" si="0"/>
        <v>1.5320025675641944E-3</v>
      </c>
      <c r="L6" s="10">
        <f t="shared" si="0"/>
        <v>1.7794988689097006E-2</v>
      </c>
    </row>
    <row r="7" spans="1:12" ht="30" customHeight="1" x14ac:dyDescent="0.25">
      <c r="A7" s="7" t="s">
        <v>70</v>
      </c>
      <c r="B7" s="9">
        <v>6.3496059750411282E-2</v>
      </c>
      <c r="C7" s="9">
        <v>4.6071629863988765E-2</v>
      </c>
      <c r="D7" s="9">
        <v>2.306247051322625E-3</v>
      </c>
      <c r="E7" s="9">
        <v>3.8927934093844286E-3</v>
      </c>
      <c r="F7" s="9">
        <v>0.11576673007510711</v>
      </c>
      <c r="H7" t="str">
        <f>A7</f>
        <v>Partner App</v>
      </c>
      <c r="I7" s="10">
        <f t="shared" si="0"/>
        <v>6.3496059750411282E-2</v>
      </c>
      <c r="J7" s="10">
        <f t="shared" si="0"/>
        <v>4.6071629863988765E-2</v>
      </c>
      <c r="K7" s="10">
        <f t="shared" si="0"/>
        <v>2.306247051322625E-3</v>
      </c>
      <c r="L7" s="10">
        <f t="shared" si="0"/>
        <v>3.8927934093844286E-3</v>
      </c>
    </row>
    <row r="8" spans="1:12" ht="30.75" customHeight="1" x14ac:dyDescent="0.25">
      <c r="A8" s="7" t="s">
        <v>40</v>
      </c>
      <c r="B8" s="9">
        <v>9.6337892927149532E-2</v>
      </c>
      <c r="C8" s="9">
        <v>6.7920115842382611E-2</v>
      </c>
      <c r="D8" s="9">
        <v>5.4979832664581261E-3</v>
      </c>
      <c r="E8" s="9">
        <v>1.2933041488102518E-2</v>
      </c>
      <c r="F8" s="9">
        <v>0.1826890335240928</v>
      </c>
      <c r="H8" t="str">
        <f>A8</f>
        <v>Target.com</v>
      </c>
      <c r="I8" s="10">
        <f t="shared" si="0"/>
        <v>9.6337892927149532E-2</v>
      </c>
      <c r="J8" s="10">
        <f t="shared" si="0"/>
        <v>6.7920115842382611E-2</v>
      </c>
      <c r="K8" s="10">
        <f t="shared" si="0"/>
        <v>5.4979832664581261E-3</v>
      </c>
      <c r="L8" s="10">
        <f t="shared" si="0"/>
        <v>1.2933041488102518E-2</v>
      </c>
    </row>
    <row r="9" spans="1:12" ht="30.75" customHeight="1" x14ac:dyDescent="0.25">
      <c r="A9" s="7" t="s">
        <v>35</v>
      </c>
      <c r="B9" s="9">
        <v>0.12522098709469262</v>
      </c>
      <c r="C9" s="9">
        <v>9.1492740283116228E-2</v>
      </c>
      <c r="D9" s="9">
        <v>6.3042760790965081E-3</v>
      </c>
      <c r="E9" s="9">
        <v>1.2408404181197551E-2</v>
      </c>
      <c r="F9" s="9">
        <v>0.23542640763810288</v>
      </c>
      <c r="H9" t="str">
        <f>A9</f>
        <v>Website</v>
      </c>
      <c r="I9" s="10">
        <f t="shared" si="0"/>
        <v>0.12522098709469262</v>
      </c>
      <c r="J9" s="10">
        <f t="shared" si="0"/>
        <v>9.1492740283116228E-2</v>
      </c>
      <c r="K9" s="10">
        <f t="shared" si="0"/>
        <v>6.3042760790965081E-3</v>
      </c>
      <c r="L9" s="10">
        <f t="shared" si="0"/>
        <v>1.2408404181197551E-2</v>
      </c>
    </row>
    <row r="10" spans="1:12" x14ac:dyDescent="0.25">
      <c r="A10" s="7" t="s">
        <v>2530</v>
      </c>
      <c r="B10" s="9">
        <v>0.52495717387974916</v>
      </c>
      <c r="C10" s="9">
        <v>0.3711684913156732</v>
      </c>
      <c r="D10" s="9">
        <v>2.6245886489133303E-2</v>
      </c>
      <c r="E10" s="9">
        <v>7.7628448315444312E-2</v>
      </c>
      <c r="F10" s="9">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05E5-B308-4A64-8922-816179CD86D9}">
  <dimension ref="A3:B11"/>
  <sheetViews>
    <sheetView zoomScale="89" workbookViewId="0">
      <selection activeCell="A3" sqref="A3"/>
    </sheetView>
  </sheetViews>
  <sheetFormatPr defaultRowHeight="15" x14ac:dyDescent="0.25"/>
  <cols>
    <col min="1" max="1" width="13.42578125" bestFit="1" customWidth="1"/>
    <col min="2" max="2" width="14" bestFit="1" customWidth="1"/>
  </cols>
  <sheetData>
    <row r="3" spans="1:2" x14ac:dyDescent="0.25">
      <c r="A3" s="6" t="s">
        <v>2529</v>
      </c>
      <c r="B3" t="s">
        <v>2518</v>
      </c>
    </row>
    <row r="4" spans="1:2" x14ac:dyDescent="0.25">
      <c r="A4" s="7">
        <v>1</v>
      </c>
      <c r="B4" s="16">
        <v>158</v>
      </c>
    </row>
    <row r="5" spans="1:2" x14ac:dyDescent="0.25">
      <c r="A5" s="7">
        <v>2</v>
      </c>
      <c r="B5" s="16">
        <v>252</v>
      </c>
    </row>
    <row r="6" spans="1:2" x14ac:dyDescent="0.25">
      <c r="A6" s="7">
        <v>3</v>
      </c>
      <c r="B6" s="16">
        <v>179</v>
      </c>
    </row>
    <row r="7" spans="1:2" x14ac:dyDescent="0.25">
      <c r="A7" s="7">
        <v>4</v>
      </c>
      <c r="B7" s="16">
        <v>110</v>
      </c>
    </row>
    <row r="8" spans="1:2" x14ac:dyDescent="0.25">
      <c r="A8" s="7">
        <v>5</v>
      </c>
      <c r="B8" s="16">
        <v>84</v>
      </c>
    </row>
    <row r="9" spans="1:2" x14ac:dyDescent="0.25">
      <c r="A9" s="7" t="s">
        <v>2536</v>
      </c>
      <c r="B9" s="16">
        <v>190</v>
      </c>
    </row>
    <row r="10" spans="1:2" x14ac:dyDescent="0.25">
      <c r="A10" s="7" t="s">
        <v>2537</v>
      </c>
      <c r="B10" s="16">
        <v>106</v>
      </c>
    </row>
    <row r="11" spans="1:2" x14ac:dyDescent="0.25">
      <c r="A11" s="7" t="s">
        <v>2530</v>
      </c>
      <c r="B11" s="16">
        <v>1079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5DB15-6CF9-4154-8DC7-A029600D8EF9}">
  <dimension ref="A3:S25"/>
  <sheetViews>
    <sheetView zoomScale="76" workbookViewId="0">
      <selection activeCell="Q22" sqref="Q22"/>
    </sheetView>
  </sheetViews>
  <sheetFormatPr defaultRowHeight="15" x14ac:dyDescent="0.25"/>
  <cols>
    <col min="1" max="1" width="20.85546875" bestFit="1" customWidth="1"/>
    <col min="2" max="2" width="17.28515625" bestFit="1" customWidth="1"/>
    <col min="3" max="3" width="5.7109375" bestFit="1" customWidth="1"/>
    <col min="4" max="4" width="6.28515625" bestFit="1" customWidth="1"/>
    <col min="5" max="5" width="9.28515625" bestFit="1" customWidth="1"/>
    <col min="6" max="6" width="11.28515625" bestFit="1" customWidth="1"/>
    <col min="18" max="18" width="13.85546875" bestFit="1" customWidth="1"/>
    <col min="19" max="19" width="15.5703125" bestFit="1" customWidth="1"/>
    <col min="20" max="21" width="5" bestFit="1" customWidth="1"/>
    <col min="22" max="22" width="4" bestFit="1" customWidth="1"/>
    <col min="23" max="23" width="11.28515625" bestFit="1" customWidth="1"/>
  </cols>
  <sheetData>
    <row r="3" spans="1:19" x14ac:dyDescent="0.25">
      <c r="A3" s="6" t="s">
        <v>2519</v>
      </c>
      <c r="B3" s="6" t="s">
        <v>2525</v>
      </c>
    </row>
    <row r="4" spans="1:19" x14ac:dyDescent="0.25">
      <c r="A4" s="6" t="s">
        <v>2529</v>
      </c>
      <c r="B4" t="s">
        <v>2531</v>
      </c>
      <c r="C4" t="s">
        <v>2532</v>
      </c>
      <c r="D4" t="s">
        <v>2533</v>
      </c>
      <c r="E4" t="s">
        <v>2534</v>
      </c>
      <c r="F4" t="s">
        <v>2530</v>
      </c>
      <c r="R4" s="6" t="s">
        <v>2529</v>
      </c>
      <c r="S4" t="s">
        <v>2519</v>
      </c>
    </row>
    <row r="5" spans="1:19" x14ac:dyDescent="0.25">
      <c r="A5" s="7" t="s">
        <v>39</v>
      </c>
      <c r="B5" s="16">
        <v>323</v>
      </c>
      <c r="C5" s="16">
        <v>374</v>
      </c>
      <c r="D5" s="16">
        <v>8</v>
      </c>
      <c r="E5" s="16">
        <v>133</v>
      </c>
      <c r="F5" s="16">
        <v>838</v>
      </c>
      <c r="R5" s="7" t="s">
        <v>2531</v>
      </c>
      <c r="S5" s="16">
        <v>2834</v>
      </c>
    </row>
    <row r="6" spans="1:19" x14ac:dyDescent="0.25">
      <c r="A6" s="7" t="s">
        <v>44</v>
      </c>
      <c r="B6" s="16">
        <v>365</v>
      </c>
      <c r="C6" s="16">
        <v>336</v>
      </c>
      <c r="D6" s="16">
        <v>36</v>
      </c>
      <c r="E6" s="16">
        <v>62</v>
      </c>
      <c r="F6" s="16">
        <v>799</v>
      </c>
      <c r="R6" s="7" t="s">
        <v>2532</v>
      </c>
      <c r="S6" s="16">
        <v>2137</v>
      </c>
    </row>
    <row r="7" spans="1:19" x14ac:dyDescent="0.25">
      <c r="A7" s="7" t="s">
        <v>26</v>
      </c>
      <c r="B7" s="16">
        <v>261</v>
      </c>
      <c r="C7" s="16">
        <v>174</v>
      </c>
      <c r="D7" s="16"/>
      <c r="E7" s="16">
        <v>29</v>
      </c>
      <c r="F7" s="16">
        <v>464</v>
      </c>
      <c r="R7" s="7" t="s">
        <v>2533</v>
      </c>
      <c r="S7" s="16">
        <v>129</v>
      </c>
    </row>
    <row r="8" spans="1:19" x14ac:dyDescent="0.25">
      <c r="A8" s="7" t="s">
        <v>22</v>
      </c>
      <c r="B8" s="16">
        <v>251</v>
      </c>
      <c r="C8" s="16">
        <v>177</v>
      </c>
      <c r="D8" s="16">
        <v>15</v>
      </c>
      <c r="E8" s="16"/>
      <c r="F8" s="16">
        <v>443</v>
      </c>
      <c r="R8" s="7" t="s">
        <v>2534</v>
      </c>
      <c r="S8" s="16">
        <v>369</v>
      </c>
    </row>
    <row r="9" spans="1:19" x14ac:dyDescent="0.25">
      <c r="A9" s="7" t="s">
        <v>54</v>
      </c>
      <c r="B9" s="16">
        <v>225</v>
      </c>
      <c r="C9" s="16">
        <v>140</v>
      </c>
      <c r="D9" s="16"/>
      <c r="E9" s="16">
        <v>4</v>
      </c>
      <c r="F9" s="16">
        <v>369</v>
      </c>
      <c r="R9" s="7" t="s">
        <v>2530</v>
      </c>
      <c r="S9" s="16">
        <v>5469</v>
      </c>
    </row>
    <row r="10" spans="1:19" x14ac:dyDescent="0.25">
      <c r="A10" s="7" t="s">
        <v>16</v>
      </c>
      <c r="B10" s="16">
        <v>214</v>
      </c>
      <c r="C10" s="16">
        <v>98</v>
      </c>
      <c r="D10" s="16"/>
      <c r="E10" s="16">
        <v>12</v>
      </c>
      <c r="F10" s="16">
        <v>324</v>
      </c>
    </row>
    <row r="11" spans="1:19" x14ac:dyDescent="0.25">
      <c r="A11" s="7" t="s">
        <v>46</v>
      </c>
      <c r="B11" s="16">
        <v>181</v>
      </c>
      <c r="C11" s="16">
        <v>72</v>
      </c>
      <c r="D11" s="16">
        <v>5</v>
      </c>
      <c r="E11" s="16">
        <v>29</v>
      </c>
      <c r="F11" s="16">
        <v>287</v>
      </c>
    </row>
    <row r="12" spans="1:19" x14ac:dyDescent="0.25">
      <c r="A12" s="7" t="s">
        <v>32</v>
      </c>
      <c r="B12" s="16">
        <v>186</v>
      </c>
      <c r="C12" s="16">
        <v>79</v>
      </c>
      <c r="D12" s="16">
        <v>2</v>
      </c>
      <c r="E12" s="16">
        <v>12</v>
      </c>
      <c r="F12" s="16">
        <v>279</v>
      </c>
    </row>
    <row r="13" spans="1:19" x14ac:dyDescent="0.25">
      <c r="A13" s="7" t="s">
        <v>37</v>
      </c>
      <c r="B13" s="16">
        <v>115</v>
      </c>
      <c r="C13" s="16">
        <v>117</v>
      </c>
      <c r="D13" s="16">
        <v>7</v>
      </c>
      <c r="E13" s="16">
        <v>16</v>
      </c>
      <c r="F13" s="16">
        <v>255</v>
      </c>
    </row>
    <row r="14" spans="1:19" x14ac:dyDescent="0.25">
      <c r="A14" s="7" t="s">
        <v>42</v>
      </c>
      <c r="B14" s="16">
        <v>96</v>
      </c>
      <c r="C14" s="16">
        <v>86</v>
      </c>
      <c r="D14" s="16">
        <v>5</v>
      </c>
      <c r="E14" s="16">
        <v>5</v>
      </c>
      <c r="F14" s="16">
        <v>192</v>
      </c>
    </row>
    <row r="15" spans="1:19" x14ac:dyDescent="0.25">
      <c r="A15" s="7" t="s">
        <v>135</v>
      </c>
      <c r="B15" s="16">
        <v>52</v>
      </c>
      <c r="C15" s="16">
        <v>114</v>
      </c>
      <c r="D15" s="16">
        <v>13</v>
      </c>
      <c r="E15" s="16"/>
      <c r="F15" s="16">
        <v>179</v>
      </c>
    </row>
    <row r="16" spans="1:19" x14ac:dyDescent="0.25">
      <c r="A16" s="7" t="s">
        <v>69</v>
      </c>
      <c r="B16" s="16">
        <v>116</v>
      </c>
      <c r="C16" s="16">
        <v>38</v>
      </c>
      <c r="D16" s="16">
        <v>10</v>
      </c>
      <c r="E16" s="16">
        <v>13</v>
      </c>
      <c r="F16" s="16">
        <v>177</v>
      </c>
    </row>
    <row r="17" spans="1:6" x14ac:dyDescent="0.25">
      <c r="A17" s="7" t="s">
        <v>67</v>
      </c>
      <c r="B17" s="16">
        <v>117</v>
      </c>
      <c r="C17" s="16">
        <v>44</v>
      </c>
      <c r="D17" s="16"/>
      <c r="E17" s="16"/>
      <c r="F17" s="16">
        <v>161</v>
      </c>
    </row>
    <row r="18" spans="1:6" x14ac:dyDescent="0.25">
      <c r="A18" s="7" t="s">
        <v>146</v>
      </c>
      <c r="B18" s="16">
        <v>40</v>
      </c>
      <c r="C18" s="16">
        <v>79</v>
      </c>
      <c r="D18" s="16">
        <v>10</v>
      </c>
      <c r="E18" s="16">
        <v>8</v>
      </c>
      <c r="F18" s="16">
        <v>137</v>
      </c>
    </row>
    <row r="19" spans="1:6" x14ac:dyDescent="0.25">
      <c r="A19" s="7" t="s">
        <v>123</v>
      </c>
      <c r="B19" s="16">
        <v>72</v>
      </c>
      <c r="C19" s="16">
        <v>41</v>
      </c>
      <c r="D19" s="16">
        <v>15</v>
      </c>
      <c r="E19" s="16">
        <v>6</v>
      </c>
      <c r="F19" s="16">
        <v>134</v>
      </c>
    </row>
    <row r="20" spans="1:6" x14ac:dyDescent="0.25">
      <c r="A20" s="7" t="s">
        <v>30</v>
      </c>
      <c r="B20" s="16">
        <v>66</v>
      </c>
      <c r="C20" s="16">
        <v>44</v>
      </c>
      <c r="D20" s="16"/>
      <c r="E20" s="16">
        <v>10</v>
      </c>
      <c r="F20" s="16">
        <v>120</v>
      </c>
    </row>
    <row r="21" spans="1:6" x14ac:dyDescent="0.25">
      <c r="A21" s="7" t="s">
        <v>76</v>
      </c>
      <c r="B21" s="16">
        <v>52</v>
      </c>
      <c r="C21" s="16">
        <v>57</v>
      </c>
      <c r="D21" s="16"/>
      <c r="E21" s="16">
        <v>6</v>
      </c>
      <c r="F21" s="16">
        <v>115</v>
      </c>
    </row>
    <row r="22" spans="1:6" x14ac:dyDescent="0.25">
      <c r="A22" s="7" t="s">
        <v>128</v>
      </c>
      <c r="B22" s="16">
        <v>55</v>
      </c>
      <c r="C22" s="16">
        <v>9</v>
      </c>
      <c r="D22" s="16">
        <v>3</v>
      </c>
      <c r="E22" s="16">
        <v>24</v>
      </c>
      <c r="F22" s="16">
        <v>91</v>
      </c>
    </row>
    <row r="23" spans="1:6" x14ac:dyDescent="0.25">
      <c r="A23" s="7" t="s">
        <v>81</v>
      </c>
      <c r="B23" s="16">
        <v>25</v>
      </c>
      <c r="C23" s="16">
        <v>36</v>
      </c>
      <c r="D23" s="16"/>
      <c r="E23" s="16"/>
      <c r="F23" s="16">
        <v>61</v>
      </c>
    </row>
    <row r="24" spans="1:6" x14ac:dyDescent="0.25">
      <c r="A24" s="7" t="s">
        <v>171</v>
      </c>
      <c r="B24" s="16">
        <v>22</v>
      </c>
      <c r="C24" s="16">
        <v>22</v>
      </c>
      <c r="D24" s="16"/>
      <c r="E24" s="16"/>
      <c r="F24" s="16">
        <v>44</v>
      </c>
    </row>
    <row r="25" spans="1:6" x14ac:dyDescent="0.25">
      <c r="A25" s="7" t="s">
        <v>2530</v>
      </c>
      <c r="B25" s="16">
        <v>2834</v>
      </c>
      <c r="C25" s="16">
        <v>2137</v>
      </c>
      <c r="D25" s="16">
        <v>129</v>
      </c>
      <c r="E25" s="16">
        <v>369</v>
      </c>
      <c r="F25" s="16">
        <v>5469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78D4-9C13-44CF-A660-D67F566DC66A}">
  <dimension ref="A3:O92"/>
  <sheetViews>
    <sheetView topLeftCell="A4" zoomScaleNormal="100" workbookViewId="0">
      <selection activeCell="A3" sqref="A3"/>
    </sheetView>
  </sheetViews>
  <sheetFormatPr defaultRowHeight="15" x14ac:dyDescent="0.25"/>
  <cols>
    <col min="1" max="1" width="25.7109375" bestFit="1" customWidth="1"/>
    <col min="2" max="2" width="21.42578125" bestFit="1" customWidth="1"/>
    <col min="3" max="3" width="15.5703125" bestFit="1" customWidth="1"/>
    <col min="4" max="4" width="14.85546875" bestFit="1" customWidth="1"/>
    <col min="8" max="8" width="14.85546875" bestFit="1" customWidth="1"/>
    <col min="9" max="9" width="22" bestFit="1" customWidth="1"/>
    <col min="10" max="10" width="15.5703125" bestFit="1" customWidth="1"/>
    <col min="13" max="13" width="14.85546875" bestFit="1" customWidth="1"/>
    <col min="14" max="14" width="22" bestFit="1" customWidth="1"/>
    <col min="15" max="15" width="14.85546875" bestFit="1" customWidth="1"/>
  </cols>
  <sheetData>
    <row r="3" spans="1:4" x14ac:dyDescent="0.25">
      <c r="A3" s="6" t="s">
        <v>10</v>
      </c>
      <c r="B3" s="6" t="s">
        <v>11</v>
      </c>
      <c r="C3" t="s">
        <v>2519</v>
      </c>
      <c r="D3" t="s">
        <v>2520</v>
      </c>
    </row>
    <row r="4" spans="1:4" x14ac:dyDescent="0.25">
      <c r="A4" t="s">
        <v>19</v>
      </c>
      <c r="B4" t="s">
        <v>115</v>
      </c>
      <c r="C4" s="16">
        <v>290</v>
      </c>
      <c r="D4" s="16">
        <v>17007.000000000004</v>
      </c>
    </row>
    <row r="5" spans="1:4" x14ac:dyDescent="0.25">
      <c r="A5" t="s">
        <v>19</v>
      </c>
      <c r="B5" t="s">
        <v>641</v>
      </c>
      <c r="C5" s="16">
        <v>7</v>
      </c>
      <c r="D5" s="16">
        <v>452.09999999999997</v>
      </c>
    </row>
    <row r="6" spans="1:4" x14ac:dyDescent="0.25">
      <c r="A6" t="s">
        <v>19</v>
      </c>
      <c r="B6" t="s">
        <v>967</v>
      </c>
      <c r="C6" s="16">
        <v>21</v>
      </c>
      <c r="D6" s="16">
        <v>542.69999999999993</v>
      </c>
    </row>
    <row r="7" spans="1:4" x14ac:dyDescent="0.25">
      <c r="A7" t="s">
        <v>19</v>
      </c>
      <c r="B7" t="s">
        <v>1383</v>
      </c>
      <c r="C7" s="16">
        <v>1</v>
      </c>
      <c r="D7" s="16">
        <v>40.299999999999997</v>
      </c>
    </row>
    <row r="8" spans="1:4" x14ac:dyDescent="0.25">
      <c r="A8" t="s">
        <v>19</v>
      </c>
      <c r="B8" t="s">
        <v>24</v>
      </c>
      <c r="C8" s="16">
        <v>138</v>
      </c>
      <c r="D8" s="16">
        <v>7258.699999999998</v>
      </c>
    </row>
    <row r="9" spans="1:4" x14ac:dyDescent="0.25">
      <c r="A9" t="s">
        <v>19</v>
      </c>
      <c r="B9" t="s">
        <v>437</v>
      </c>
      <c r="C9" s="16">
        <v>1</v>
      </c>
      <c r="D9" s="16">
        <v>20.6</v>
      </c>
    </row>
    <row r="10" spans="1:4" x14ac:dyDescent="0.25">
      <c r="A10" t="s">
        <v>19</v>
      </c>
      <c r="B10" t="s">
        <v>28</v>
      </c>
      <c r="C10" s="16">
        <v>125</v>
      </c>
      <c r="D10" s="16">
        <v>5574</v>
      </c>
    </row>
    <row r="11" spans="1:4" x14ac:dyDescent="0.25">
      <c r="A11" t="s">
        <v>19</v>
      </c>
      <c r="B11" t="s">
        <v>208</v>
      </c>
      <c r="C11" s="16">
        <v>9</v>
      </c>
      <c r="D11" s="16">
        <v>343.20000000000005</v>
      </c>
    </row>
    <row r="12" spans="1:4" x14ac:dyDescent="0.25">
      <c r="A12" t="s">
        <v>19</v>
      </c>
      <c r="B12" t="s">
        <v>587</v>
      </c>
      <c r="C12" s="16">
        <v>13</v>
      </c>
      <c r="D12" s="16">
        <v>882.6</v>
      </c>
    </row>
    <row r="13" spans="1:4" x14ac:dyDescent="0.25">
      <c r="A13" t="s">
        <v>19</v>
      </c>
      <c r="B13" t="s">
        <v>331</v>
      </c>
      <c r="C13" s="16">
        <v>16</v>
      </c>
      <c r="D13" s="16">
        <v>636.29999999999995</v>
      </c>
    </row>
    <row r="14" spans="1:4" x14ac:dyDescent="0.25">
      <c r="A14" t="s">
        <v>19</v>
      </c>
      <c r="B14" t="s">
        <v>147</v>
      </c>
      <c r="C14" s="16">
        <v>88</v>
      </c>
      <c r="D14" s="16">
        <v>4347</v>
      </c>
    </row>
    <row r="15" spans="1:4" x14ac:dyDescent="0.25">
      <c r="A15" t="s">
        <v>19</v>
      </c>
      <c r="B15" t="s">
        <v>334</v>
      </c>
      <c r="C15" s="16">
        <v>25</v>
      </c>
      <c r="D15" s="16">
        <v>1187.5</v>
      </c>
    </row>
    <row r="16" spans="1:4" x14ac:dyDescent="0.25">
      <c r="A16" t="s">
        <v>19</v>
      </c>
      <c r="B16" t="s">
        <v>949</v>
      </c>
      <c r="C16" s="16">
        <v>12</v>
      </c>
      <c r="D16" s="16">
        <v>944.9</v>
      </c>
    </row>
    <row r="17" spans="1:4" x14ac:dyDescent="0.25">
      <c r="A17" t="s">
        <v>19</v>
      </c>
      <c r="B17" t="s">
        <v>33</v>
      </c>
      <c r="C17" s="16">
        <v>1901</v>
      </c>
      <c r="D17" s="16">
        <v>106417.69999999997</v>
      </c>
    </row>
    <row r="18" spans="1:4" x14ac:dyDescent="0.25">
      <c r="A18" t="s">
        <v>19</v>
      </c>
      <c r="B18" t="s">
        <v>364</v>
      </c>
      <c r="C18" s="16">
        <v>23</v>
      </c>
      <c r="D18" s="16">
        <v>1506.9999999999998</v>
      </c>
    </row>
    <row r="19" spans="1:4" x14ac:dyDescent="0.25">
      <c r="A19" t="s">
        <v>19</v>
      </c>
      <c r="B19" t="s">
        <v>545</v>
      </c>
      <c r="C19" s="16">
        <v>12</v>
      </c>
      <c r="D19" s="16">
        <v>551.40000000000009</v>
      </c>
    </row>
    <row r="20" spans="1:4" x14ac:dyDescent="0.25">
      <c r="A20" t="s">
        <v>19</v>
      </c>
      <c r="B20" t="s">
        <v>258</v>
      </c>
      <c r="C20" s="16">
        <v>6</v>
      </c>
      <c r="D20" s="16">
        <v>101.4</v>
      </c>
    </row>
    <row r="21" spans="1:4" x14ac:dyDescent="0.25">
      <c r="A21" t="s">
        <v>19</v>
      </c>
      <c r="B21" t="s">
        <v>186</v>
      </c>
      <c r="C21" s="16">
        <v>37</v>
      </c>
      <c r="D21" s="16">
        <v>1560.7</v>
      </c>
    </row>
    <row r="22" spans="1:4" x14ac:dyDescent="0.25">
      <c r="A22" t="s">
        <v>19</v>
      </c>
      <c r="B22" t="s">
        <v>392</v>
      </c>
      <c r="C22" s="16">
        <v>2</v>
      </c>
      <c r="D22" s="16">
        <v>28.4</v>
      </c>
    </row>
    <row r="23" spans="1:4" x14ac:dyDescent="0.25">
      <c r="A23" t="s">
        <v>19</v>
      </c>
      <c r="B23" t="s">
        <v>670</v>
      </c>
      <c r="C23" s="16">
        <v>4</v>
      </c>
      <c r="D23" s="16">
        <v>204.8</v>
      </c>
    </row>
    <row r="24" spans="1:4" x14ac:dyDescent="0.25">
      <c r="A24" t="s">
        <v>19</v>
      </c>
      <c r="B24" t="s">
        <v>802</v>
      </c>
      <c r="C24" s="16">
        <v>30</v>
      </c>
      <c r="D24" s="16">
        <v>1550.3</v>
      </c>
    </row>
    <row r="25" spans="1:4" x14ac:dyDescent="0.25">
      <c r="A25" t="s">
        <v>19</v>
      </c>
      <c r="B25" t="s">
        <v>98</v>
      </c>
      <c r="C25" s="16">
        <v>32</v>
      </c>
      <c r="D25" s="16">
        <v>3959.5999999999995</v>
      </c>
    </row>
    <row r="26" spans="1:4" x14ac:dyDescent="0.25">
      <c r="A26" t="s">
        <v>19</v>
      </c>
      <c r="B26" t="s">
        <v>49</v>
      </c>
      <c r="C26" s="16">
        <v>12</v>
      </c>
      <c r="D26" s="16">
        <v>1167.3</v>
      </c>
    </row>
    <row r="27" spans="1:4" x14ac:dyDescent="0.25">
      <c r="A27" t="s">
        <v>19</v>
      </c>
      <c r="B27" t="s">
        <v>188</v>
      </c>
      <c r="C27" s="16">
        <v>43</v>
      </c>
      <c r="D27" s="16">
        <v>2495.3999999999996</v>
      </c>
    </row>
    <row r="28" spans="1:4" x14ac:dyDescent="0.25">
      <c r="A28" t="s">
        <v>19</v>
      </c>
      <c r="B28" t="s">
        <v>52</v>
      </c>
      <c r="C28" s="16">
        <v>70</v>
      </c>
      <c r="D28" s="16">
        <v>4783.2</v>
      </c>
    </row>
    <row r="29" spans="1:4" x14ac:dyDescent="0.25">
      <c r="A29" t="s">
        <v>19</v>
      </c>
      <c r="B29" t="s">
        <v>158</v>
      </c>
      <c r="C29" s="16">
        <v>46</v>
      </c>
      <c r="D29" s="16">
        <v>1608.4</v>
      </c>
    </row>
    <row r="30" spans="1:4" x14ac:dyDescent="0.25">
      <c r="A30" t="s">
        <v>19</v>
      </c>
      <c r="B30" t="s">
        <v>55</v>
      </c>
      <c r="C30" s="16">
        <v>328</v>
      </c>
      <c r="D30" s="16">
        <v>16266.500000000004</v>
      </c>
    </row>
    <row r="31" spans="1:4" x14ac:dyDescent="0.25">
      <c r="A31" t="s">
        <v>19</v>
      </c>
      <c r="B31" t="s">
        <v>342</v>
      </c>
      <c r="C31" s="16">
        <v>5</v>
      </c>
      <c r="D31" s="16">
        <v>268.79999999999995</v>
      </c>
    </row>
    <row r="32" spans="1:4" x14ac:dyDescent="0.25">
      <c r="A32" t="s">
        <v>19</v>
      </c>
      <c r="B32" t="s">
        <v>59</v>
      </c>
      <c r="C32" s="16">
        <v>125</v>
      </c>
      <c r="D32" s="16">
        <v>6485.7</v>
      </c>
    </row>
    <row r="33" spans="1:15" x14ac:dyDescent="0.25">
      <c r="A33" t="s">
        <v>19</v>
      </c>
      <c r="B33" t="s">
        <v>62</v>
      </c>
      <c r="C33" s="16">
        <v>761</v>
      </c>
      <c r="D33" s="16">
        <v>45927.799999999988</v>
      </c>
      <c r="H33" s="12" t="s">
        <v>10</v>
      </c>
      <c r="I33" s="12" t="s">
        <v>11</v>
      </c>
      <c r="J33" s="12" t="s">
        <v>2519</v>
      </c>
      <c r="M33" s="12" t="s">
        <v>10</v>
      </c>
      <c r="N33" s="12" t="s">
        <v>11</v>
      </c>
      <c r="O33" s="12" t="s">
        <v>2520</v>
      </c>
    </row>
    <row r="34" spans="1:15" x14ac:dyDescent="0.25">
      <c r="A34" t="s">
        <v>19</v>
      </c>
      <c r="B34" t="s">
        <v>103</v>
      </c>
      <c r="C34" s="16">
        <v>88</v>
      </c>
      <c r="D34" s="16">
        <v>5225.3999999999996</v>
      </c>
      <c r="H34" s="13" t="s">
        <v>19</v>
      </c>
      <c r="I34" t="s">
        <v>115</v>
      </c>
      <c r="J34">
        <v>579</v>
      </c>
      <c r="M34" s="13" t="s">
        <v>19</v>
      </c>
      <c r="N34" t="s">
        <v>115</v>
      </c>
      <c r="O34">
        <v>31884.999999999996</v>
      </c>
    </row>
    <row r="35" spans="1:15" x14ac:dyDescent="0.25">
      <c r="A35" t="s">
        <v>19</v>
      </c>
      <c r="B35" t="s">
        <v>201</v>
      </c>
      <c r="C35" s="16">
        <v>83</v>
      </c>
      <c r="D35" s="16">
        <v>4203.4000000000005</v>
      </c>
      <c r="H35" s="13" t="s">
        <v>19</v>
      </c>
      <c r="I35" t="s">
        <v>20</v>
      </c>
      <c r="J35">
        <v>1</v>
      </c>
      <c r="M35" s="13" t="s">
        <v>19</v>
      </c>
      <c r="N35" t="s">
        <v>20</v>
      </c>
      <c r="O35">
        <v>10.9</v>
      </c>
    </row>
    <row r="36" spans="1:15" x14ac:dyDescent="0.25">
      <c r="A36" t="s">
        <v>19</v>
      </c>
      <c r="B36" t="s">
        <v>72</v>
      </c>
      <c r="C36" s="16">
        <v>181</v>
      </c>
      <c r="D36" s="16">
        <v>7804.9</v>
      </c>
      <c r="H36" s="13" t="s">
        <v>19</v>
      </c>
      <c r="I36" t="s">
        <v>641</v>
      </c>
      <c r="J36">
        <v>9</v>
      </c>
      <c r="M36" s="13" t="s">
        <v>19</v>
      </c>
      <c r="N36" t="s">
        <v>641</v>
      </c>
      <c r="O36">
        <v>800.3</v>
      </c>
    </row>
    <row r="37" spans="1:15" x14ac:dyDescent="0.25">
      <c r="A37" t="s">
        <v>19</v>
      </c>
      <c r="B37" t="s">
        <v>74</v>
      </c>
      <c r="C37" s="16">
        <v>44</v>
      </c>
      <c r="D37" s="16">
        <v>2072.5</v>
      </c>
      <c r="H37" s="13" t="s">
        <v>19</v>
      </c>
      <c r="I37" t="s">
        <v>967</v>
      </c>
      <c r="J37">
        <v>35</v>
      </c>
      <c r="M37" s="13" t="s">
        <v>19</v>
      </c>
      <c r="N37" t="s">
        <v>967</v>
      </c>
      <c r="O37">
        <v>1062.5999999999999</v>
      </c>
    </row>
    <row r="38" spans="1:15" x14ac:dyDescent="0.25">
      <c r="A38" t="s">
        <v>19</v>
      </c>
      <c r="B38" t="s">
        <v>77</v>
      </c>
      <c r="C38" s="16">
        <v>323</v>
      </c>
      <c r="D38" s="16">
        <v>16437.100000000006</v>
      </c>
      <c r="H38" s="13" t="s">
        <v>19</v>
      </c>
      <c r="I38" t="s">
        <v>84</v>
      </c>
      <c r="J38">
        <v>12</v>
      </c>
      <c r="M38" s="13" t="s">
        <v>19</v>
      </c>
      <c r="N38" t="s">
        <v>84</v>
      </c>
      <c r="O38">
        <v>326.20000000000005</v>
      </c>
    </row>
    <row r="39" spans="1:15" x14ac:dyDescent="0.25">
      <c r="A39" t="s">
        <v>19</v>
      </c>
      <c r="B39" t="s">
        <v>309</v>
      </c>
      <c r="C39" s="16">
        <v>18</v>
      </c>
      <c r="D39" s="16">
        <v>376.2</v>
      </c>
      <c r="H39" s="13" t="s">
        <v>19</v>
      </c>
      <c r="I39" t="s">
        <v>1383</v>
      </c>
      <c r="J39">
        <v>4</v>
      </c>
      <c r="M39" s="13" t="s">
        <v>19</v>
      </c>
      <c r="N39" t="s">
        <v>1383</v>
      </c>
      <c r="O39">
        <v>167.5</v>
      </c>
    </row>
    <row r="40" spans="1:15" x14ac:dyDescent="0.25">
      <c r="A40" t="s">
        <v>19</v>
      </c>
      <c r="B40" t="s">
        <v>1116</v>
      </c>
      <c r="C40" s="16">
        <v>38</v>
      </c>
      <c r="D40" s="16">
        <v>2457.1</v>
      </c>
      <c r="H40" s="13" t="s">
        <v>19</v>
      </c>
      <c r="I40" t="s">
        <v>24</v>
      </c>
      <c r="J40">
        <v>341</v>
      </c>
      <c r="M40" s="13" t="s">
        <v>19</v>
      </c>
      <c r="N40" t="s">
        <v>24</v>
      </c>
      <c r="O40">
        <v>16168.7</v>
      </c>
    </row>
    <row r="41" spans="1:15" x14ac:dyDescent="0.25">
      <c r="A41" t="s">
        <v>19</v>
      </c>
      <c r="B41" t="s">
        <v>700</v>
      </c>
      <c r="C41" s="16">
        <v>2</v>
      </c>
      <c r="D41" s="16">
        <v>30.8</v>
      </c>
      <c r="H41" s="13" t="s">
        <v>19</v>
      </c>
      <c r="I41" t="s">
        <v>2204</v>
      </c>
      <c r="J41">
        <v>13</v>
      </c>
      <c r="M41" s="13" t="s">
        <v>19</v>
      </c>
      <c r="N41" t="s">
        <v>2204</v>
      </c>
      <c r="O41">
        <v>322.40000000000003</v>
      </c>
    </row>
    <row r="42" spans="1:15" x14ac:dyDescent="0.25">
      <c r="A42" t="s">
        <v>19</v>
      </c>
      <c r="B42" t="s">
        <v>268</v>
      </c>
      <c r="C42" s="16">
        <v>5</v>
      </c>
      <c r="D42" s="16">
        <v>240.70000000000002</v>
      </c>
      <c r="H42" s="13" t="s">
        <v>19</v>
      </c>
      <c r="I42" t="s">
        <v>437</v>
      </c>
      <c r="J42">
        <v>31</v>
      </c>
      <c r="M42" s="13" t="s">
        <v>19</v>
      </c>
      <c r="N42" t="s">
        <v>437</v>
      </c>
      <c r="O42">
        <v>2092.8000000000002</v>
      </c>
    </row>
    <row r="43" spans="1:15" x14ac:dyDescent="0.25">
      <c r="A43" t="s">
        <v>19</v>
      </c>
      <c r="B43" t="s">
        <v>377</v>
      </c>
      <c r="C43" s="16">
        <v>33</v>
      </c>
      <c r="D43" s="16">
        <v>2415.6</v>
      </c>
      <c r="H43" s="13" t="s">
        <v>19</v>
      </c>
      <c r="I43" t="s">
        <v>28</v>
      </c>
      <c r="J43">
        <v>279</v>
      </c>
      <c r="M43" s="13" t="s">
        <v>19</v>
      </c>
      <c r="N43" t="s">
        <v>28</v>
      </c>
      <c r="O43">
        <v>12662.500000000002</v>
      </c>
    </row>
    <row r="44" spans="1:15" x14ac:dyDescent="0.25">
      <c r="A44" t="s">
        <v>19</v>
      </c>
      <c r="B44" t="s">
        <v>108</v>
      </c>
      <c r="C44" s="16">
        <v>184</v>
      </c>
      <c r="D44" s="16">
        <v>11690.3</v>
      </c>
      <c r="H44" s="13" t="s">
        <v>19</v>
      </c>
      <c r="I44" t="s">
        <v>208</v>
      </c>
      <c r="J44">
        <v>9</v>
      </c>
      <c r="M44" s="13" t="s">
        <v>19</v>
      </c>
      <c r="N44" t="s">
        <v>208</v>
      </c>
      <c r="O44">
        <v>343.2</v>
      </c>
    </row>
    <row r="45" spans="1:15" x14ac:dyDescent="0.25">
      <c r="A45" t="s">
        <v>19</v>
      </c>
      <c r="B45" t="s">
        <v>110</v>
      </c>
      <c r="C45" s="16">
        <v>109</v>
      </c>
      <c r="D45" s="16">
        <v>5498.2</v>
      </c>
      <c r="H45" s="13" t="s">
        <v>19</v>
      </c>
      <c r="I45" t="s">
        <v>587</v>
      </c>
      <c r="J45">
        <v>49</v>
      </c>
      <c r="M45" s="13" t="s">
        <v>19</v>
      </c>
      <c r="N45" t="s">
        <v>587</v>
      </c>
      <c r="O45">
        <v>2188.2999999999997</v>
      </c>
    </row>
    <row r="46" spans="1:15" x14ac:dyDescent="0.25">
      <c r="A46" t="s">
        <v>19</v>
      </c>
      <c r="B46" t="s">
        <v>292</v>
      </c>
      <c r="C46" s="16">
        <v>10</v>
      </c>
      <c r="D46" s="16">
        <v>565.90000000000009</v>
      </c>
      <c r="H46" s="13" t="s">
        <v>19</v>
      </c>
      <c r="I46" t="s">
        <v>331</v>
      </c>
      <c r="J46">
        <v>59</v>
      </c>
      <c r="M46" s="13" t="s">
        <v>19</v>
      </c>
      <c r="N46" t="s">
        <v>331</v>
      </c>
      <c r="O46">
        <v>2661.5999999999995</v>
      </c>
    </row>
    <row r="47" spans="1:15" x14ac:dyDescent="0.25">
      <c r="A47" t="s">
        <v>19</v>
      </c>
      <c r="B47" t="s">
        <v>79</v>
      </c>
      <c r="C47" s="16">
        <v>6</v>
      </c>
      <c r="D47" s="16">
        <v>323</v>
      </c>
      <c r="H47" s="13" t="s">
        <v>19</v>
      </c>
      <c r="I47" t="s">
        <v>86</v>
      </c>
      <c r="J47">
        <v>8</v>
      </c>
      <c r="M47" s="13" t="s">
        <v>19</v>
      </c>
      <c r="N47" t="s">
        <v>86</v>
      </c>
      <c r="O47">
        <v>887.5</v>
      </c>
    </row>
    <row r="48" spans="1:15" x14ac:dyDescent="0.25">
      <c r="A48" t="s">
        <v>19</v>
      </c>
      <c r="B48" t="s">
        <v>608</v>
      </c>
      <c r="C48" s="16">
        <v>5</v>
      </c>
      <c r="D48" s="16">
        <v>167.70000000000002</v>
      </c>
      <c r="H48" s="13" t="s">
        <v>19</v>
      </c>
      <c r="I48" t="s">
        <v>147</v>
      </c>
      <c r="J48">
        <v>222</v>
      </c>
      <c r="M48" s="13" t="s">
        <v>19</v>
      </c>
      <c r="N48" t="s">
        <v>147</v>
      </c>
      <c r="O48">
        <v>11354.199999999993</v>
      </c>
    </row>
    <row r="49" spans="1:15" x14ac:dyDescent="0.25">
      <c r="A49" t="s">
        <v>19</v>
      </c>
      <c r="B49" t="s">
        <v>113</v>
      </c>
      <c r="C49" s="16">
        <v>33</v>
      </c>
      <c r="D49" s="16">
        <v>1377.3999999999999</v>
      </c>
      <c r="H49" s="13" t="s">
        <v>19</v>
      </c>
      <c r="I49" t="s">
        <v>334</v>
      </c>
      <c r="J49">
        <v>36</v>
      </c>
      <c r="M49" s="13" t="s">
        <v>19</v>
      </c>
      <c r="N49" t="s">
        <v>334</v>
      </c>
      <c r="O49">
        <v>1558.4</v>
      </c>
    </row>
    <row r="50" spans="1:15" x14ac:dyDescent="0.25">
      <c r="A50" t="s">
        <v>19</v>
      </c>
      <c r="B50" t="s">
        <v>997</v>
      </c>
      <c r="C50" s="16">
        <v>9</v>
      </c>
      <c r="D50" s="16">
        <v>630</v>
      </c>
      <c r="H50" s="13" t="s">
        <v>19</v>
      </c>
      <c r="I50" t="s">
        <v>949</v>
      </c>
      <c r="J50">
        <v>30</v>
      </c>
      <c r="M50" s="13" t="s">
        <v>19</v>
      </c>
      <c r="N50" t="s">
        <v>949</v>
      </c>
      <c r="O50">
        <v>2223.9</v>
      </c>
    </row>
    <row r="51" spans="1:15" x14ac:dyDescent="0.25">
      <c r="A51" t="s">
        <v>19</v>
      </c>
      <c r="B51" t="s">
        <v>82</v>
      </c>
      <c r="C51" s="16">
        <v>109</v>
      </c>
      <c r="D51" s="16">
        <v>5263.8000000000011</v>
      </c>
      <c r="H51" s="13" t="s">
        <v>19</v>
      </c>
      <c r="I51" t="s">
        <v>1426</v>
      </c>
      <c r="J51">
        <v>1</v>
      </c>
      <c r="M51" s="13" t="s">
        <v>19</v>
      </c>
      <c r="N51" t="s">
        <v>1426</v>
      </c>
      <c r="O51">
        <v>26.2</v>
      </c>
    </row>
    <row r="52" spans="1:15" x14ac:dyDescent="0.25">
      <c r="A52" t="s">
        <v>19</v>
      </c>
      <c r="B52" t="s">
        <v>243</v>
      </c>
      <c r="C52" s="16">
        <v>6</v>
      </c>
      <c r="D52" s="16">
        <v>156.19999999999999</v>
      </c>
      <c r="H52" s="13" t="s">
        <v>19</v>
      </c>
      <c r="I52" t="s">
        <v>33</v>
      </c>
      <c r="J52">
        <v>3991</v>
      </c>
      <c r="M52" s="13" t="s">
        <v>19</v>
      </c>
      <c r="N52" t="s">
        <v>33</v>
      </c>
      <c r="O52">
        <v>215551.19999999981</v>
      </c>
    </row>
    <row r="53" spans="1:15" x14ac:dyDescent="0.25">
      <c r="A53" t="s">
        <v>2538</v>
      </c>
      <c r="C53" s="16">
        <v>5469</v>
      </c>
      <c r="D53" s="16">
        <v>301057.49999999994</v>
      </c>
      <c r="H53" s="13" t="s">
        <v>19</v>
      </c>
      <c r="I53" t="s">
        <v>364</v>
      </c>
      <c r="J53">
        <v>45</v>
      </c>
      <c r="M53" s="13" t="s">
        <v>19</v>
      </c>
      <c r="N53" t="s">
        <v>364</v>
      </c>
      <c r="O53">
        <v>2687.3999999999996</v>
      </c>
    </row>
    <row r="54" spans="1:15" x14ac:dyDescent="0.25">
      <c r="C54" s="16"/>
      <c r="D54" s="16"/>
      <c r="H54" s="13" t="s">
        <v>19</v>
      </c>
      <c r="I54" t="s">
        <v>545</v>
      </c>
      <c r="J54">
        <v>39</v>
      </c>
      <c r="M54" s="13" t="s">
        <v>19</v>
      </c>
      <c r="N54" t="s">
        <v>545</v>
      </c>
      <c r="O54">
        <v>1463.3000000000002</v>
      </c>
    </row>
    <row r="55" spans="1:15" x14ac:dyDescent="0.25">
      <c r="H55" s="13" t="s">
        <v>19</v>
      </c>
      <c r="I55" t="s">
        <v>416</v>
      </c>
      <c r="J55">
        <v>6</v>
      </c>
      <c r="M55" s="13" t="s">
        <v>19</v>
      </c>
      <c r="N55" t="s">
        <v>416</v>
      </c>
      <c r="O55">
        <v>445.79999999999995</v>
      </c>
    </row>
    <row r="56" spans="1:15" x14ac:dyDescent="0.25">
      <c r="H56" s="13" t="s">
        <v>19</v>
      </c>
      <c r="I56" t="s">
        <v>258</v>
      </c>
      <c r="J56">
        <v>9</v>
      </c>
      <c r="M56" s="13" t="s">
        <v>19</v>
      </c>
      <c r="N56" t="s">
        <v>258</v>
      </c>
      <c r="O56">
        <v>273.59999999999997</v>
      </c>
    </row>
    <row r="57" spans="1:15" x14ac:dyDescent="0.25">
      <c r="H57" s="13" t="s">
        <v>19</v>
      </c>
      <c r="I57" t="s">
        <v>186</v>
      </c>
      <c r="J57">
        <v>60</v>
      </c>
      <c r="M57" s="13" t="s">
        <v>19</v>
      </c>
      <c r="N57" t="s">
        <v>186</v>
      </c>
      <c r="O57">
        <v>2690.4</v>
      </c>
    </row>
    <row r="58" spans="1:15" x14ac:dyDescent="0.25">
      <c r="H58" s="13" t="s">
        <v>19</v>
      </c>
      <c r="I58" t="s">
        <v>392</v>
      </c>
      <c r="J58">
        <v>2</v>
      </c>
      <c r="M58" s="13" t="s">
        <v>19</v>
      </c>
      <c r="N58" t="s">
        <v>392</v>
      </c>
      <c r="O58">
        <v>28.4</v>
      </c>
    </row>
    <row r="59" spans="1:15" x14ac:dyDescent="0.25">
      <c r="H59" s="13" t="s">
        <v>19</v>
      </c>
      <c r="I59" t="s">
        <v>670</v>
      </c>
      <c r="J59">
        <v>4</v>
      </c>
      <c r="M59" s="13" t="s">
        <v>19</v>
      </c>
      <c r="N59" t="s">
        <v>670</v>
      </c>
      <c r="O59">
        <v>204.8</v>
      </c>
    </row>
    <row r="60" spans="1:15" x14ac:dyDescent="0.25">
      <c r="H60" s="13" t="s">
        <v>19</v>
      </c>
      <c r="I60" t="s">
        <v>802</v>
      </c>
      <c r="J60">
        <v>31</v>
      </c>
      <c r="M60" s="13" t="s">
        <v>19</v>
      </c>
      <c r="N60" t="s">
        <v>802</v>
      </c>
      <c r="O60">
        <v>1607.8999999999999</v>
      </c>
    </row>
    <row r="61" spans="1:15" x14ac:dyDescent="0.25">
      <c r="H61" s="13" t="s">
        <v>19</v>
      </c>
      <c r="I61" t="s">
        <v>98</v>
      </c>
      <c r="J61">
        <v>88</v>
      </c>
      <c r="M61" s="13" t="s">
        <v>19</v>
      </c>
      <c r="N61" t="s">
        <v>98</v>
      </c>
      <c r="O61">
        <v>6444.9</v>
      </c>
    </row>
    <row r="62" spans="1:15" x14ac:dyDescent="0.25">
      <c r="H62" s="13" t="s">
        <v>19</v>
      </c>
      <c r="I62" t="s">
        <v>49</v>
      </c>
      <c r="J62">
        <v>25</v>
      </c>
      <c r="M62" s="13" t="s">
        <v>19</v>
      </c>
      <c r="N62" t="s">
        <v>49</v>
      </c>
      <c r="O62">
        <v>1809.3</v>
      </c>
    </row>
    <row r="63" spans="1:15" x14ac:dyDescent="0.25">
      <c r="H63" s="13" t="s">
        <v>19</v>
      </c>
      <c r="I63" t="s">
        <v>188</v>
      </c>
      <c r="J63">
        <v>178</v>
      </c>
      <c r="M63" s="13" t="s">
        <v>19</v>
      </c>
      <c r="N63" t="s">
        <v>188</v>
      </c>
      <c r="O63">
        <v>9680.399999999996</v>
      </c>
    </row>
    <row r="64" spans="1:15" x14ac:dyDescent="0.25">
      <c r="H64" s="13" t="s">
        <v>19</v>
      </c>
      <c r="I64" t="s">
        <v>52</v>
      </c>
      <c r="J64">
        <v>141</v>
      </c>
      <c r="M64" s="13" t="s">
        <v>19</v>
      </c>
      <c r="N64" t="s">
        <v>52</v>
      </c>
      <c r="O64">
        <v>9414.7999999999993</v>
      </c>
    </row>
    <row r="65" spans="8:15" x14ac:dyDescent="0.25">
      <c r="H65" s="13" t="s">
        <v>19</v>
      </c>
      <c r="I65" t="s">
        <v>338</v>
      </c>
      <c r="J65">
        <v>6</v>
      </c>
      <c r="M65" s="13" t="s">
        <v>19</v>
      </c>
      <c r="N65" t="s">
        <v>338</v>
      </c>
      <c r="O65">
        <v>206.1</v>
      </c>
    </row>
    <row r="66" spans="8:15" x14ac:dyDescent="0.25">
      <c r="H66" s="13" t="s">
        <v>19</v>
      </c>
      <c r="I66" t="s">
        <v>158</v>
      </c>
      <c r="J66">
        <v>178</v>
      </c>
      <c r="M66" s="13" t="s">
        <v>19</v>
      </c>
      <c r="N66" t="s">
        <v>158</v>
      </c>
      <c r="O66">
        <v>7691.3</v>
      </c>
    </row>
    <row r="67" spans="8:15" x14ac:dyDescent="0.25">
      <c r="H67" s="13" t="s">
        <v>19</v>
      </c>
      <c r="I67" t="s">
        <v>55</v>
      </c>
      <c r="J67">
        <v>699</v>
      </c>
      <c r="M67" s="13" t="s">
        <v>19</v>
      </c>
      <c r="N67" t="s">
        <v>55</v>
      </c>
      <c r="O67">
        <v>37784.900000000016</v>
      </c>
    </row>
    <row r="68" spans="8:15" x14ac:dyDescent="0.25">
      <c r="H68" s="13" t="s">
        <v>19</v>
      </c>
      <c r="I68" t="s">
        <v>342</v>
      </c>
      <c r="J68">
        <v>23</v>
      </c>
      <c r="M68" s="13" t="s">
        <v>19</v>
      </c>
      <c r="N68" t="s">
        <v>342</v>
      </c>
      <c r="O68">
        <v>1129.7</v>
      </c>
    </row>
    <row r="69" spans="8:15" x14ac:dyDescent="0.25">
      <c r="H69" s="13" t="s">
        <v>19</v>
      </c>
      <c r="I69" t="s">
        <v>59</v>
      </c>
      <c r="J69">
        <v>356</v>
      </c>
      <c r="M69" s="13" t="s">
        <v>19</v>
      </c>
      <c r="N69" t="s">
        <v>59</v>
      </c>
      <c r="O69">
        <v>20988.9</v>
      </c>
    </row>
    <row r="70" spans="8:15" x14ac:dyDescent="0.25">
      <c r="H70" s="13" t="s">
        <v>19</v>
      </c>
      <c r="I70" t="s">
        <v>62</v>
      </c>
      <c r="J70">
        <v>1768</v>
      </c>
      <c r="M70" s="13" t="s">
        <v>19</v>
      </c>
      <c r="N70" t="s">
        <v>62</v>
      </c>
      <c r="O70">
        <v>98367.099999999977</v>
      </c>
    </row>
    <row r="71" spans="8:15" x14ac:dyDescent="0.25">
      <c r="H71" s="13" t="s">
        <v>19</v>
      </c>
      <c r="I71" t="s">
        <v>103</v>
      </c>
      <c r="J71">
        <v>307</v>
      </c>
      <c r="M71" s="13" t="s">
        <v>19</v>
      </c>
      <c r="N71" t="s">
        <v>103</v>
      </c>
      <c r="O71">
        <v>21911.9</v>
      </c>
    </row>
    <row r="72" spans="8:15" x14ac:dyDescent="0.25">
      <c r="H72" s="13" t="s">
        <v>19</v>
      </c>
      <c r="I72" t="s">
        <v>201</v>
      </c>
      <c r="J72">
        <v>117</v>
      </c>
      <c r="M72" s="13" t="s">
        <v>19</v>
      </c>
      <c r="N72" t="s">
        <v>201</v>
      </c>
      <c r="O72">
        <v>5441.2</v>
      </c>
    </row>
    <row r="73" spans="8:15" x14ac:dyDescent="0.25">
      <c r="H73" s="13" t="s">
        <v>19</v>
      </c>
      <c r="I73" t="s">
        <v>429</v>
      </c>
      <c r="J73">
        <v>13</v>
      </c>
      <c r="M73" s="13" t="s">
        <v>19</v>
      </c>
      <c r="N73" t="s">
        <v>429</v>
      </c>
      <c r="O73">
        <v>392.8</v>
      </c>
    </row>
    <row r="74" spans="8:15" x14ac:dyDescent="0.25">
      <c r="H74" s="13" t="s">
        <v>19</v>
      </c>
      <c r="I74" t="s">
        <v>72</v>
      </c>
      <c r="J74">
        <v>364</v>
      </c>
      <c r="M74" s="13" t="s">
        <v>19</v>
      </c>
      <c r="N74" t="s">
        <v>72</v>
      </c>
      <c r="O74">
        <v>16172.000000000005</v>
      </c>
    </row>
    <row r="75" spans="8:15" x14ac:dyDescent="0.25">
      <c r="H75" s="13" t="s">
        <v>19</v>
      </c>
      <c r="I75" t="s">
        <v>74</v>
      </c>
      <c r="J75">
        <v>95</v>
      </c>
      <c r="M75" s="13" t="s">
        <v>19</v>
      </c>
      <c r="N75" t="s">
        <v>74</v>
      </c>
      <c r="O75">
        <v>4334.9999999999991</v>
      </c>
    </row>
    <row r="76" spans="8:15" x14ac:dyDescent="0.25">
      <c r="H76" s="13" t="s">
        <v>19</v>
      </c>
      <c r="I76" t="s">
        <v>77</v>
      </c>
      <c r="J76">
        <v>737</v>
      </c>
      <c r="M76" s="13" t="s">
        <v>19</v>
      </c>
      <c r="N76" t="s">
        <v>77</v>
      </c>
      <c r="O76">
        <v>37449.000000000007</v>
      </c>
    </row>
    <row r="77" spans="8:15" x14ac:dyDescent="0.25">
      <c r="H77" s="13" t="s">
        <v>19</v>
      </c>
      <c r="I77" t="s">
        <v>309</v>
      </c>
      <c r="J77">
        <v>39</v>
      </c>
      <c r="M77" s="13" t="s">
        <v>19</v>
      </c>
      <c r="N77" t="s">
        <v>309</v>
      </c>
      <c r="O77">
        <v>2447.5</v>
      </c>
    </row>
    <row r="78" spans="8:15" x14ac:dyDescent="0.25">
      <c r="H78" s="13" t="s">
        <v>19</v>
      </c>
      <c r="I78" t="s">
        <v>1116</v>
      </c>
      <c r="J78">
        <v>56</v>
      </c>
      <c r="M78" s="13" t="s">
        <v>19</v>
      </c>
      <c r="N78" t="s">
        <v>1116</v>
      </c>
      <c r="O78">
        <v>3391.1</v>
      </c>
    </row>
    <row r="79" spans="8:15" x14ac:dyDescent="0.25">
      <c r="H79" s="13" t="s">
        <v>19</v>
      </c>
      <c r="I79" t="s">
        <v>700</v>
      </c>
      <c r="J79">
        <v>2</v>
      </c>
      <c r="M79" s="13" t="s">
        <v>19</v>
      </c>
      <c r="N79" t="s">
        <v>700</v>
      </c>
      <c r="O79">
        <v>30.8</v>
      </c>
    </row>
    <row r="80" spans="8:15" x14ac:dyDescent="0.25">
      <c r="H80" s="13" t="s">
        <v>19</v>
      </c>
      <c r="I80" t="s">
        <v>268</v>
      </c>
      <c r="J80">
        <v>8</v>
      </c>
      <c r="M80" s="13" t="s">
        <v>19</v>
      </c>
      <c r="N80" t="s">
        <v>268</v>
      </c>
      <c r="O80">
        <v>332.3</v>
      </c>
    </row>
    <row r="81" spans="8:15" x14ac:dyDescent="0.25">
      <c r="H81" s="13" t="s">
        <v>19</v>
      </c>
      <c r="I81" t="s">
        <v>377</v>
      </c>
      <c r="J81">
        <v>52</v>
      </c>
      <c r="M81" s="13" t="s">
        <v>19</v>
      </c>
      <c r="N81" t="s">
        <v>377</v>
      </c>
      <c r="O81">
        <v>3175.9999999999995</v>
      </c>
    </row>
    <row r="82" spans="8:15" x14ac:dyDescent="0.25">
      <c r="H82" s="13" t="s">
        <v>19</v>
      </c>
      <c r="I82" t="s">
        <v>108</v>
      </c>
      <c r="J82">
        <v>295</v>
      </c>
      <c r="M82" s="13" t="s">
        <v>19</v>
      </c>
      <c r="N82" t="s">
        <v>108</v>
      </c>
      <c r="O82">
        <v>20939.600000000002</v>
      </c>
    </row>
    <row r="83" spans="8:15" x14ac:dyDescent="0.25">
      <c r="H83" s="13" t="s">
        <v>19</v>
      </c>
      <c r="I83" t="s">
        <v>110</v>
      </c>
      <c r="J83">
        <v>195</v>
      </c>
      <c r="M83" s="13" t="s">
        <v>19</v>
      </c>
      <c r="N83" t="s">
        <v>110</v>
      </c>
      <c r="O83">
        <v>10185.899999999996</v>
      </c>
    </row>
    <row r="84" spans="8:15" x14ac:dyDescent="0.25">
      <c r="H84" s="13" t="s">
        <v>19</v>
      </c>
      <c r="I84" t="s">
        <v>292</v>
      </c>
      <c r="J84">
        <v>20</v>
      </c>
      <c r="M84" s="13" t="s">
        <v>19</v>
      </c>
      <c r="N84" t="s">
        <v>292</v>
      </c>
      <c r="O84">
        <v>958.7</v>
      </c>
    </row>
    <row r="85" spans="8:15" x14ac:dyDescent="0.25">
      <c r="H85" s="13" t="s">
        <v>19</v>
      </c>
      <c r="I85" t="s">
        <v>79</v>
      </c>
      <c r="J85">
        <v>6</v>
      </c>
      <c r="M85" s="13" t="s">
        <v>19</v>
      </c>
      <c r="N85" t="s">
        <v>79</v>
      </c>
      <c r="O85">
        <v>323</v>
      </c>
    </row>
    <row r="86" spans="8:15" x14ac:dyDescent="0.25">
      <c r="H86" s="13" t="s">
        <v>19</v>
      </c>
      <c r="I86" t="s">
        <v>608</v>
      </c>
      <c r="J86">
        <v>5</v>
      </c>
      <c r="M86" s="13" t="s">
        <v>19</v>
      </c>
      <c r="N86" t="s">
        <v>608</v>
      </c>
      <c r="O86">
        <v>167.70000000000002</v>
      </c>
    </row>
    <row r="87" spans="8:15" x14ac:dyDescent="0.25">
      <c r="H87" s="13" t="s">
        <v>19</v>
      </c>
      <c r="I87" t="s">
        <v>113</v>
      </c>
      <c r="J87">
        <v>94</v>
      </c>
      <c r="M87" s="13" t="s">
        <v>19</v>
      </c>
      <c r="N87" t="s">
        <v>113</v>
      </c>
      <c r="O87">
        <v>3978.5</v>
      </c>
    </row>
    <row r="88" spans="8:15" x14ac:dyDescent="0.25">
      <c r="H88" s="13" t="s">
        <v>19</v>
      </c>
      <c r="I88" t="s">
        <v>997</v>
      </c>
      <c r="J88">
        <v>28</v>
      </c>
      <c r="M88" s="13" t="s">
        <v>19</v>
      </c>
      <c r="N88" t="s">
        <v>997</v>
      </c>
      <c r="O88">
        <v>1405</v>
      </c>
    </row>
    <row r="89" spans="8:15" x14ac:dyDescent="0.25">
      <c r="H89" s="13" t="s">
        <v>19</v>
      </c>
      <c r="I89" t="s">
        <v>82</v>
      </c>
      <c r="J89">
        <v>179</v>
      </c>
      <c r="M89" s="13" t="s">
        <v>19</v>
      </c>
      <c r="N89" t="s">
        <v>82</v>
      </c>
      <c r="O89">
        <v>9869.0999999999985</v>
      </c>
    </row>
    <row r="90" spans="8:15" x14ac:dyDescent="0.25">
      <c r="H90" s="13" t="s">
        <v>19</v>
      </c>
      <c r="I90" t="s">
        <v>243</v>
      </c>
      <c r="J90">
        <v>15</v>
      </c>
      <c r="M90" s="13" t="s">
        <v>19</v>
      </c>
      <c r="N90" t="s">
        <v>243</v>
      </c>
      <c r="O90">
        <v>615.29999999999995</v>
      </c>
    </row>
    <row r="91" spans="8:15" x14ac:dyDescent="0.25">
      <c r="H91" s="14" t="s">
        <v>19</v>
      </c>
      <c r="I91" t="s">
        <v>1911</v>
      </c>
      <c r="J91">
        <v>3</v>
      </c>
      <c r="M91" s="14" t="s">
        <v>19</v>
      </c>
      <c r="N91" t="s">
        <v>1911</v>
      </c>
      <c r="O91">
        <v>285</v>
      </c>
    </row>
    <row r="92" spans="8:15" x14ac:dyDescent="0.25">
      <c r="H92" s="15" t="s">
        <v>2538</v>
      </c>
      <c r="I92" s="15"/>
      <c r="J92" s="15">
        <v>11997</v>
      </c>
      <c r="M92" s="15" t="s">
        <v>2538</v>
      </c>
      <c r="N92" s="15"/>
      <c r="O92" s="15">
        <v>649019.79999999981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90AD-0896-49CD-BF56-90AD952F82C5}">
  <dimension ref="A2:L24"/>
  <sheetViews>
    <sheetView workbookViewId="0">
      <selection activeCell="D36" sqref="D36"/>
    </sheetView>
  </sheetViews>
  <sheetFormatPr defaultRowHeight="15" x14ac:dyDescent="0.25"/>
  <cols>
    <col min="1" max="1" width="14" bestFit="1" customWidth="1"/>
    <col min="2" max="2" width="15.5703125" bestFit="1" customWidth="1"/>
    <col min="3" max="3" width="14.85546875" bestFit="1" customWidth="1"/>
    <col min="4" max="4" width="18.7109375" bestFit="1" customWidth="1"/>
    <col min="5" max="5" width="25" bestFit="1" customWidth="1"/>
    <col min="6" max="60" width="18.7109375" bestFit="1" customWidth="1"/>
    <col min="61" max="61" width="19" bestFit="1" customWidth="1"/>
    <col min="62" max="62" width="20.5703125" bestFit="1" customWidth="1"/>
    <col min="63" max="63" width="19.85546875" bestFit="1" customWidth="1"/>
    <col min="64" max="64" width="23.7109375" bestFit="1" customWidth="1"/>
  </cols>
  <sheetData>
    <row r="2" spans="1:12" x14ac:dyDescent="0.25">
      <c r="H2" t="s">
        <v>2522</v>
      </c>
    </row>
    <row r="3" spans="1:12" x14ac:dyDescent="0.25">
      <c r="A3" t="s">
        <v>2518</v>
      </c>
      <c r="B3" t="s">
        <v>2519</v>
      </c>
      <c r="C3" t="s">
        <v>2520</v>
      </c>
      <c r="D3" t="s">
        <v>2521</v>
      </c>
      <c r="E3" t="s">
        <v>2526</v>
      </c>
      <c r="H3" t="s">
        <v>2527</v>
      </c>
      <c r="I3" t="s">
        <v>2523</v>
      </c>
      <c r="J3" t="s">
        <v>4</v>
      </c>
      <c r="K3" t="s">
        <v>2528</v>
      </c>
      <c r="L3" t="s">
        <v>2524</v>
      </c>
    </row>
    <row r="4" spans="1:12" x14ac:dyDescent="0.25">
      <c r="A4" s="16">
        <v>1079</v>
      </c>
      <c r="B4" s="16">
        <v>5469</v>
      </c>
      <c r="C4" s="16">
        <v>301057.50000000023</v>
      </c>
      <c r="D4" s="5">
        <v>3.9490268767377201</v>
      </c>
      <c r="E4" s="16">
        <v>2.2539388322520852</v>
      </c>
      <c r="H4" t="str">
        <f>TEXT(A4,"#,##")</f>
        <v>1,079</v>
      </c>
      <c r="I4" t="str">
        <f>TEXT(B4,"#,##")</f>
        <v>5,469</v>
      </c>
      <c r="J4" t="str">
        <f>TEXT(C4,"$#,#,.0k")</f>
        <v>$301.1k</v>
      </c>
      <c r="K4" t="str">
        <f>TEXT(D4,"0.0")</f>
        <v>3.9</v>
      </c>
      <c r="L4" t="str">
        <f>TEXT(E4,"0.0")</f>
        <v>2.3</v>
      </c>
    </row>
    <row r="10" spans="1:12" x14ac:dyDescent="0.25">
      <c r="A10" s="6" t="s">
        <v>2529</v>
      </c>
      <c r="B10" t="s">
        <v>2519</v>
      </c>
      <c r="C10" t="s">
        <v>2520</v>
      </c>
    </row>
    <row r="11" spans="1:12" x14ac:dyDescent="0.25">
      <c r="A11" s="7">
        <v>1</v>
      </c>
      <c r="B11" s="16">
        <v>251</v>
      </c>
      <c r="C11" s="8">
        <v>16895.2</v>
      </c>
    </row>
    <row r="12" spans="1:12" x14ac:dyDescent="0.25">
      <c r="A12" s="7">
        <v>2</v>
      </c>
      <c r="B12" s="16">
        <v>380</v>
      </c>
      <c r="C12" s="8">
        <v>18036.500000000004</v>
      </c>
    </row>
    <row r="13" spans="1:12" x14ac:dyDescent="0.25">
      <c r="A13" s="7">
        <v>3</v>
      </c>
      <c r="B13" s="16">
        <v>377</v>
      </c>
      <c r="C13" s="8">
        <v>20912.100000000002</v>
      </c>
    </row>
    <row r="14" spans="1:12" x14ac:dyDescent="0.25">
      <c r="A14" s="7">
        <v>4</v>
      </c>
      <c r="B14" s="16">
        <v>495</v>
      </c>
      <c r="C14" s="8">
        <v>23083.300000000007</v>
      </c>
    </row>
    <row r="15" spans="1:12" x14ac:dyDescent="0.25">
      <c r="A15" s="7">
        <v>5</v>
      </c>
      <c r="B15" s="16">
        <v>365</v>
      </c>
      <c r="C15" s="8">
        <v>18873.900000000005</v>
      </c>
    </row>
    <row r="16" spans="1:12" x14ac:dyDescent="0.25">
      <c r="A16" s="7">
        <v>6</v>
      </c>
      <c r="B16" s="16">
        <v>515</v>
      </c>
      <c r="C16" s="8">
        <v>30363.000000000011</v>
      </c>
    </row>
    <row r="17" spans="1:3" x14ac:dyDescent="0.25">
      <c r="A17" s="7">
        <v>7</v>
      </c>
      <c r="B17" s="16">
        <v>385</v>
      </c>
      <c r="C17" s="8">
        <v>20359.700000000004</v>
      </c>
    </row>
    <row r="18" spans="1:3" x14ac:dyDescent="0.25">
      <c r="A18" s="7">
        <v>8</v>
      </c>
      <c r="B18" s="16">
        <v>510</v>
      </c>
      <c r="C18" s="8">
        <v>28477.5</v>
      </c>
    </row>
    <row r="19" spans="1:3" x14ac:dyDescent="0.25">
      <c r="A19" s="7">
        <v>9</v>
      </c>
      <c r="B19" s="16">
        <v>410</v>
      </c>
      <c r="C19" s="8">
        <v>19090.500000000004</v>
      </c>
    </row>
    <row r="20" spans="1:3" x14ac:dyDescent="0.25">
      <c r="A20" s="7">
        <v>10</v>
      </c>
      <c r="B20" s="16">
        <v>492</v>
      </c>
      <c r="C20" s="8">
        <v>31651.1</v>
      </c>
    </row>
    <row r="21" spans="1:3" x14ac:dyDescent="0.25">
      <c r="A21" s="7">
        <v>11</v>
      </c>
      <c r="B21" s="16">
        <v>375</v>
      </c>
      <c r="C21" s="8">
        <v>22033.500000000004</v>
      </c>
    </row>
    <row r="22" spans="1:3" x14ac:dyDescent="0.25">
      <c r="A22" s="7">
        <v>12</v>
      </c>
      <c r="B22" s="16">
        <v>512</v>
      </c>
      <c r="C22" s="8">
        <v>30696.500000000004</v>
      </c>
    </row>
    <row r="23" spans="1:3" x14ac:dyDescent="0.25">
      <c r="A23" s="7">
        <v>13</v>
      </c>
      <c r="B23" s="16">
        <v>402</v>
      </c>
      <c r="C23" s="8">
        <v>20584.699999999993</v>
      </c>
    </row>
    <row r="24" spans="1:3" x14ac:dyDescent="0.25">
      <c r="A24" s="7" t="s">
        <v>2530</v>
      </c>
      <c r="B24" s="16">
        <v>5469</v>
      </c>
      <c r="C24" s="8">
        <v>301057.50000000006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74B4-5760-4346-8DED-73ABD812CBA9}">
  <dimension ref="A3:L44"/>
  <sheetViews>
    <sheetView topLeftCell="A16" workbookViewId="0">
      <selection activeCell="O9" sqref="O9"/>
    </sheetView>
  </sheetViews>
  <sheetFormatPr defaultRowHeight="15" x14ac:dyDescent="0.25"/>
  <cols>
    <col min="1" max="1" width="13.42578125" bestFit="1" customWidth="1"/>
    <col min="2" max="2" width="14" bestFit="1" customWidth="1"/>
    <col min="5" max="5" width="14" bestFit="1" customWidth="1"/>
    <col min="6" max="6" width="16.85546875" bestFit="1" customWidth="1"/>
    <col min="7" max="7" width="3" bestFit="1" customWidth="1"/>
    <col min="8" max="10" width="4" bestFit="1" customWidth="1"/>
    <col min="11" max="12" width="11.28515625" bestFit="1" customWidth="1"/>
    <col min="13" max="36" width="9.28515625" bestFit="1" customWidth="1"/>
    <col min="37" max="93" width="9.7109375" bestFit="1" customWidth="1"/>
    <col min="94" max="94" width="11.28515625" bestFit="1" customWidth="1"/>
  </cols>
  <sheetData>
    <row r="3" spans="1:2" x14ac:dyDescent="0.25">
      <c r="A3" s="6" t="s">
        <v>2529</v>
      </c>
      <c r="B3" t="s">
        <v>2518</v>
      </c>
    </row>
    <row r="4" spans="1:2" x14ac:dyDescent="0.25">
      <c r="A4" s="7">
        <v>0</v>
      </c>
      <c r="B4" s="16">
        <v>83</v>
      </c>
    </row>
    <row r="5" spans="1:2" x14ac:dyDescent="0.25">
      <c r="A5" s="7">
        <v>1</v>
      </c>
      <c r="B5" s="16">
        <v>390</v>
      </c>
    </row>
    <row r="6" spans="1:2" x14ac:dyDescent="0.25">
      <c r="A6" s="7">
        <v>2</v>
      </c>
      <c r="B6" s="16">
        <v>256</v>
      </c>
    </row>
    <row r="7" spans="1:2" x14ac:dyDescent="0.25">
      <c r="A7" s="7">
        <v>3</v>
      </c>
      <c r="B7" s="16">
        <v>158</v>
      </c>
    </row>
    <row r="8" spans="1:2" x14ac:dyDescent="0.25">
      <c r="A8" s="7">
        <v>4</v>
      </c>
      <c r="B8" s="16">
        <v>92</v>
      </c>
    </row>
    <row r="9" spans="1:2" x14ac:dyDescent="0.25">
      <c r="A9" s="7">
        <v>5</v>
      </c>
      <c r="B9" s="16">
        <v>37</v>
      </c>
    </row>
    <row r="10" spans="1:2" x14ac:dyDescent="0.25">
      <c r="A10" s="7">
        <v>6</v>
      </c>
      <c r="B10" s="16">
        <v>26</v>
      </c>
    </row>
    <row r="11" spans="1:2" x14ac:dyDescent="0.25">
      <c r="A11" s="7">
        <v>7</v>
      </c>
      <c r="B11" s="16">
        <v>12</v>
      </c>
    </row>
    <row r="12" spans="1:2" x14ac:dyDescent="0.25">
      <c r="A12" s="7">
        <v>8</v>
      </c>
      <c r="B12" s="16">
        <v>7</v>
      </c>
    </row>
    <row r="13" spans="1:2" x14ac:dyDescent="0.25">
      <c r="A13" s="7">
        <v>9</v>
      </c>
      <c r="B13" s="16">
        <v>4</v>
      </c>
    </row>
    <row r="14" spans="1:2" x14ac:dyDescent="0.25">
      <c r="A14" s="7">
        <v>10</v>
      </c>
      <c r="B14" s="16">
        <v>2</v>
      </c>
    </row>
    <row r="15" spans="1:2" x14ac:dyDescent="0.25">
      <c r="A15" s="7">
        <v>11</v>
      </c>
      <c r="B15" s="16">
        <v>4</v>
      </c>
    </row>
    <row r="16" spans="1:2" x14ac:dyDescent="0.25">
      <c r="A16" s="7">
        <v>12</v>
      </c>
      <c r="B16" s="16">
        <v>1</v>
      </c>
    </row>
    <row r="17" spans="1:11" x14ac:dyDescent="0.25">
      <c r="A17" s="7">
        <v>13</v>
      </c>
      <c r="B17" s="16">
        <v>3</v>
      </c>
    </row>
    <row r="18" spans="1:11" x14ac:dyDescent="0.25">
      <c r="A18" s="7">
        <v>14</v>
      </c>
      <c r="B18" s="16">
        <v>4</v>
      </c>
    </row>
    <row r="19" spans="1:11" x14ac:dyDescent="0.25">
      <c r="A19" s="7" t="s">
        <v>2530</v>
      </c>
      <c r="B19" s="16">
        <v>1079</v>
      </c>
    </row>
    <row r="26" spans="1:11" x14ac:dyDescent="0.25">
      <c r="E26" s="6" t="s">
        <v>2518</v>
      </c>
      <c r="F26" s="6" t="s">
        <v>2525</v>
      </c>
    </row>
    <row r="27" spans="1:11" x14ac:dyDescent="0.25">
      <c r="E27" s="6" t="s">
        <v>2529</v>
      </c>
      <c r="F27">
        <v>1</v>
      </c>
      <c r="G27">
        <v>2</v>
      </c>
      <c r="H27">
        <v>3</v>
      </c>
      <c r="I27">
        <v>4</v>
      </c>
      <c r="J27">
        <v>5</v>
      </c>
      <c r="K27" t="s">
        <v>2530</v>
      </c>
    </row>
    <row r="28" spans="1:11" x14ac:dyDescent="0.25">
      <c r="E28" s="7" t="s">
        <v>2539</v>
      </c>
      <c r="F28" s="16">
        <v>4</v>
      </c>
      <c r="G28" s="16">
        <v>19</v>
      </c>
      <c r="H28" s="16">
        <v>79</v>
      </c>
      <c r="I28" s="16">
        <v>144</v>
      </c>
      <c r="J28" s="16">
        <v>90</v>
      </c>
      <c r="K28" s="16">
        <v>336</v>
      </c>
    </row>
    <row r="29" spans="1:11" x14ac:dyDescent="0.25">
      <c r="E29" s="7" t="s">
        <v>2540</v>
      </c>
      <c r="F29" s="16">
        <v>2</v>
      </c>
      <c r="G29" s="16">
        <v>29</v>
      </c>
      <c r="H29" s="16">
        <v>76</v>
      </c>
      <c r="I29" s="16">
        <v>154</v>
      </c>
      <c r="J29" s="16">
        <v>118</v>
      </c>
      <c r="K29" s="16">
        <v>379</v>
      </c>
    </row>
    <row r="30" spans="1:11" x14ac:dyDescent="0.25">
      <c r="E30" s="7" t="s">
        <v>2541</v>
      </c>
      <c r="F30" s="16">
        <v>3</v>
      </c>
      <c r="G30" s="16">
        <v>20</v>
      </c>
      <c r="H30" s="16">
        <v>68</v>
      </c>
      <c r="I30" s="16">
        <v>150</v>
      </c>
      <c r="J30" s="16">
        <v>123</v>
      </c>
      <c r="K30" s="16">
        <v>364</v>
      </c>
    </row>
    <row r="31" spans="1:11" x14ac:dyDescent="0.25">
      <c r="E31" s="7" t="s">
        <v>2530</v>
      </c>
      <c r="F31" s="16">
        <v>9</v>
      </c>
      <c r="G31" s="16">
        <v>68</v>
      </c>
      <c r="H31" s="16">
        <v>223</v>
      </c>
      <c r="I31" s="16">
        <v>448</v>
      </c>
      <c r="J31" s="16">
        <v>331</v>
      </c>
      <c r="K31" s="16">
        <v>1079</v>
      </c>
    </row>
    <row r="39" spans="6:12" x14ac:dyDescent="0.25">
      <c r="F39" s="6" t="s">
        <v>2518</v>
      </c>
      <c r="G39" s="6" t="s">
        <v>2525</v>
      </c>
    </row>
    <row r="40" spans="6:12" x14ac:dyDescent="0.25">
      <c r="F40" s="6" t="s">
        <v>2529</v>
      </c>
      <c r="G40">
        <v>1</v>
      </c>
      <c r="H40">
        <v>2</v>
      </c>
      <c r="I40">
        <v>3</v>
      </c>
      <c r="J40">
        <v>4</v>
      </c>
      <c r="K40">
        <v>5</v>
      </c>
      <c r="L40" t="s">
        <v>2530</v>
      </c>
    </row>
    <row r="41" spans="6:12" x14ac:dyDescent="0.25">
      <c r="F41" s="7" t="s">
        <v>51</v>
      </c>
      <c r="G41" s="16">
        <v>5</v>
      </c>
      <c r="H41" s="16">
        <v>11</v>
      </c>
      <c r="I41" s="16">
        <v>40</v>
      </c>
      <c r="J41" s="16">
        <v>109</v>
      </c>
      <c r="K41" s="16">
        <v>83</v>
      </c>
      <c r="L41" s="16">
        <v>248</v>
      </c>
    </row>
    <row r="42" spans="6:12" x14ac:dyDescent="0.25">
      <c r="F42" s="7" t="s">
        <v>70</v>
      </c>
      <c r="G42" s="16">
        <v>1</v>
      </c>
      <c r="H42" s="16">
        <v>18</v>
      </c>
      <c r="I42" s="16">
        <v>64</v>
      </c>
      <c r="J42" s="16">
        <v>113</v>
      </c>
      <c r="K42" s="16">
        <v>66</v>
      </c>
      <c r="L42" s="16">
        <v>262</v>
      </c>
    </row>
    <row r="43" spans="6:12" x14ac:dyDescent="0.25">
      <c r="F43" s="7" t="s">
        <v>35</v>
      </c>
      <c r="G43" s="16">
        <v>3</v>
      </c>
      <c r="H43" s="16">
        <v>39</v>
      </c>
      <c r="I43" s="16">
        <v>119</v>
      </c>
      <c r="J43" s="16">
        <v>226</v>
      </c>
      <c r="K43" s="16">
        <v>182</v>
      </c>
      <c r="L43" s="16">
        <v>569</v>
      </c>
    </row>
    <row r="44" spans="6:12" x14ac:dyDescent="0.25">
      <c r="F44" s="7" t="s">
        <v>2530</v>
      </c>
      <c r="G44" s="16">
        <v>9</v>
      </c>
      <c r="H44" s="16">
        <v>68</v>
      </c>
      <c r="I44" s="16">
        <v>223</v>
      </c>
      <c r="J44" s="16">
        <v>448</v>
      </c>
      <c r="K44" s="16">
        <v>331</v>
      </c>
      <c r="L44" s="16">
        <v>1079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1631-0BBA-4764-8770-E99233167FE5}">
  <dimension ref="M6:R15"/>
  <sheetViews>
    <sheetView topLeftCell="A4" workbookViewId="0">
      <selection activeCell="P12" sqref="P12"/>
    </sheetView>
  </sheetViews>
  <sheetFormatPr defaultRowHeight="15" x14ac:dyDescent="0.25"/>
  <sheetData>
    <row r="6" spans="13:18" x14ac:dyDescent="0.25">
      <c r="N6" s="11">
        <f t="shared" ref="N6:Q11" si="0">G6</f>
        <v>0</v>
      </c>
      <c r="O6" s="11">
        <f t="shared" si="0"/>
        <v>0</v>
      </c>
      <c r="P6" s="11">
        <f t="shared" si="0"/>
        <v>0</v>
      </c>
      <c r="Q6" s="11">
        <f t="shared" si="0"/>
        <v>0</v>
      </c>
    </row>
    <row r="7" spans="13:18" x14ac:dyDescent="0.25">
      <c r="M7">
        <f>F7</f>
        <v>0</v>
      </c>
      <c r="N7" s="10">
        <f t="shared" si="0"/>
        <v>0</v>
      </c>
      <c r="O7" s="10">
        <f t="shared" si="0"/>
        <v>0</v>
      </c>
      <c r="P7" s="10">
        <f t="shared" si="0"/>
        <v>0</v>
      </c>
      <c r="Q7" s="10">
        <f t="shared" si="0"/>
        <v>0</v>
      </c>
    </row>
    <row r="8" spans="13:18" x14ac:dyDescent="0.25">
      <c r="M8">
        <f>F8</f>
        <v>0</v>
      </c>
      <c r="N8" s="10">
        <f t="shared" si="0"/>
        <v>0</v>
      </c>
      <c r="O8" s="10">
        <f t="shared" si="0"/>
        <v>0</v>
      </c>
      <c r="P8" s="10">
        <f t="shared" si="0"/>
        <v>0</v>
      </c>
      <c r="Q8" s="10">
        <f t="shared" si="0"/>
        <v>0</v>
      </c>
    </row>
    <row r="9" spans="13:18" x14ac:dyDescent="0.25">
      <c r="M9">
        <f>F9</f>
        <v>0</v>
      </c>
      <c r="N9" s="10">
        <f t="shared" si="0"/>
        <v>0</v>
      </c>
      <c r="O9" s="10">
        <f t="shared" si="0"/>
        <v>0</v>
      </c>
      <c r="P9" s="10">
        <f t="shared" si="0"/>
        <v>0</v>
      </c>
      <c r="Q9" s="10">
        <f t="shared" si="0"/>
        <v>0</v>
      </c>
    </row>
    <row r="10" spans="13:18" x14ac:dyDescent="0.25">
      <c r="M10">
        <f>F10</f>
        <v>0</v>
      </c>
      <c r="N10" s="10">
        <f t="shared" si="0"/>
        <v>0</v>
      </c>
      <c r="O10" s="10">
        <f t="shared" si="0"/>
        <v>0</v>
      </c>
      <c r="P10" s="10">
        <f t="shared" si="0"/>
        <v>0</v>
      </c>
      <c r="Q10" s="10">
        <f t="shared" si="0"/>
        <v>0</v>
      </c>
      <c r="R10" s="11">
        <f t="shared" ref="O10:R15" si="1">K10</f>
        <v>0</v>
      </c>
    </row>
    <row r="11" spans="13:18" x14ac:dyDescent="0.25">
      <c r="M11">
        <f>F11</f>
        <v>0</v>
      </c>
      <c r="N11" s="10">
        <f t="shared" si="0"/>
        <v>0</v>
      </c>
      <c r="O11" s="10">
        <f t="shared" si="0"/>
        <v>0</v>
      </c>
      <c r="P11" s="10">
        <f t="shared" si="0"/>
        <v>0</v>
      </c>
      <c r="Q11" s="10">
        <f t="shared" si="0"/>
        <v>0</v>
      </c>
      <c r="R11" s="10">
        <f t="shared" si="1"/>
        <v>0</v>
      </c>
    </row>
    <row r="12" spans="13:18" x14ac:dyDescent="0.25">
      <c r="N12">
        <f>G12</f>
        <v>0</v>
      </c>
      <c r="O12" s="10">
        <f t="shared" si="1"/>
        <v>0</v>
      </c>
      <c r="P12" s="10">
        <f t="shared" si="1"/>
        <v>0</v>
      </c>
      <c r="Q12" s="10">
        <f t="shared" si="1"/>
        <v>0</v>
      </c>
      <c r="R12" s="10">
        <f t="shared" si="1"/>
        <v>0</v>
      </c>
    </row>
    <row r="13" spans="13:18" x14ac:dyDescent="0.25">
      <c r="N13">
        <f>G13</f>
        <v>0</v>
      </c>
      <c r="O13" s="10">
        <f t="shared" si="1"/>
        <v>0</v>
      </c>
      <c r="P13" s="10">
        <f t="shared" si="1"/>
        <v>0</v>
      </c>
      <c r="Q13" s="10">
        <f t="shared" si="1"/>
        <v>0</v>
      </c>
      <c r="R13" s="10">
        <f t="shared" si="1"/>
        <v>0</v>
      </c>
    </row>
    <row r="14" spans="13:18" x14ac:dyDescent="0.25">
      <c r="N14">
        <f>G14</f>
        <v>0</v>
      </c>
      <c r="O14" s="10">
        <f t="shared" si="1"/>
        <v>0</v>
      </c>
      <c r="P14" s="10">
        <f t="shared" si="1"/>
        <v>0</v>
      </c>
      <c r="Q14" s="10">
        <f t="shared" si="1"/>
        <v>0</v>
      </c>
      <c r="R14" s="10">
        <f t="shared" si="1"/>
        <v>0</v>
      </c>
    </row>
    <row r="15" spans="13:18" x14ac:dyDescent="0.25">
      <c r="N15">
        <f>G15</f>
        <v>0</v>
      </c>
      <c r="O15" s="10">
        <f t="shared" si="1"/>
        <v>0</v>
      </c>
      <c r="P15" s="10">
        <f t="shared" si="1"/>
        <v>0</v>
      </c>
      <c r="Q15" s="10">
        <f t="shared" si="1"/>
        <v>0</v>
      </c>
      <c r="R15" s="10">
        <f t="shared" si="1"/>
        <v>0</v>
      </c>
    </row>
  </sheetData>
  <conditionalFormatting sqref="O12:R15 R11">
    <cfRule type="colorScale" priority="2">
      <colorScale>
        <cfvo type="min"/>
        <cfvo type="percentile" val="50"/>
        <cfvo type="max"/>
        <color rgb="FFF8696B"/>
        <color rgb="FFFCFCFF"/>
        <color rgb="FF5A8AC6"/>
      </colorScale>
    </cfRule>
  </conditionalFormatting>
  <conditionalFormatting sqref="N7:Q11">
    <cfRule type="colorScale" priority="1">
      <colorScale>
        <cfvo type="min"/>
        <cfvo type="percentile" val="50"/>
        <cfvo type="max"/>
        <color rgb="FFF8696B"/>
        <color rgb="FFFCFCFF"/>
        <color rgb="FF5A8AC6"/>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Dashboard</vt:lpstr>
      <vt:lpstr>Questions &amp; KPIs</vt:lpstr>
      <vt:lpstr>Sheet3</vt:lpstr>
      <vt:lpstr>Sheet4</vt:lpstr>
      <vt:lpstr>Sheet2</vt:lpstr>
      <vt:lpstr>Sheet5</vt:lpstr>
      <vt:lpstr>Sheet1</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Suresh Kanchamreddy</cp:lastModifiedBy>
  <dcterms:created xsi:type="dcterms:W3CDTF">2025-06-13T02:42:26Z</dcterms:created>
  <dcterms:modified xsi:type="dcterms:W3CDTF">2025-11-26T19:10:42Z</dcterms:modified>
</cp:coreProperties>
</file>